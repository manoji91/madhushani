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updateLinks="never" codeName="ThisWorkbook"/>
  <bookViews>
    <workbookView xWindow="1170" yWindow="780" windowWidth="15180" windowHeight="8655" tabRatio="838" activeTab="1"/>
  </bookViews>
  <sheets>
    <sheet name="Confidentiality Note" sheetId="9" r:id="rId1"/>
    <sheet name="Detailed Task Estimates" sheetId="1" r:id="rId2"/>
    <sheet name="Effort Summary" sheetId="13" r:id="rId3"/>
    <sheet name="Detailed Risk Impact Estimates" sheetId="4" r:id="rId4"/>
    <sheet name="Assumptions" sheetId="3" r:id="rId5"/>
    <sheet name="PERT Guidelines" sheetId="10" r:id="rId6"/>
    <sheet name="Estimation Metrics" sheetId="12" r:id="rId7"/>
  </sheets>
  <externalReferences>
    <externalReference r:id="rId8"/>
  </externalReferences>
  <definedNames>
    <definedName name="_xlnm._FilterDatabase" localSheetId="1" hidden="1">'Effort Summary'!$G$2:$I$6</definedName>
    <definedName name="Complexity" localSheetId="6">[1]Data!$A$13:$A$15</definedName>
    <definedName name="ComplexityData" localSheetId="6">'[1]Detailed Task Estimates'!$D$5:$D$178</definedName>
    <definedName name="Expected_Effort" localSheetId="6">'[1]Detailed Task Estimates'!$I$5:$I$178</definedName>
    <definedName name="Expected_Effort">'Detailed Task Estimates'!$G$14:$G$99</definedName>
    <definedName name="Expert_Team_Productivity_Multiplier" localSheetId="6">'Estimation Metrics'!$B$4</definedName>
    <definedName name="Expert_Team_Productivity_Multiplier">'Detailed Task Estimates'!$P$8</definedName>
    <definedName name="Green_Team_Productivity_Multiplier" localSheetId="6">'Estimation Metrics'!$B$3</definedName>
    <definedName name="Green_Team_Productivity_Multiplier">'Detailed Task Estimates'!$P$7</definedName>
    <definedName name="nr_avg">'Detailed Task Estimates'!$H$13</definedName>
    <definedName name="nr_expeffET">'Detailed Task Estimates'!$S$12</definedName>
    <definedName name="nr_expeffGT">'Detailed Task Estimates'!$O$12</definedName>
    <definedName name="nr_expteffort">'Detailed Task Estimates'!$G$13</definedName>
    <definedName name="nr_MostLikely">'Detailed Task Estimates'!$E$12</definedName>
    <definedName name="nr_No">'Detailed Task Estimates'!$A$11</definedName>
    <definedName name="nr_Optimistic">'Detailed Task Estimates'!$D$12</definedName>
    <definedName name="nr_Pessimistic">'Detailed Task Estimates'!$F$12</definedName>
    <definedName name="nr_SD">'Detailed Task Estimates'!$I$13</definedName>
    <definedName name="nr_TaskName">'Detailed Task Estimates'!$B$11</definedName>
    <definedName name="nr_Type">'Detailed Task Estimates'!$C$11</definedName>
    <definedName name="nr_Variance">'Detailed Task Estimates'!$J$13</definedName>
    <definedName name="Project_Type" localSheetId="6">[1]Data!$B$4:$B$9</definedName>
    <definedName name="Risk_Category_List" localSheetId="6">[1]Data!$A$18:$A$26</definedName>
    <definedName name="Risk_Category_List">'Detailed Risk Impact Estimates'!$AB$4:$AB$12</definedName>
    <definedName name="Task_Types">'Effort Summary'!$B$3:$B$25</definedName>
    <definedName name="Task_Types__Core_GIP_Disipline" localSheetId="6">[1]Data!$A$4:$A$10</definedName>
  </definedNames>
  <calcPr calcId="145621"/>
</workbook>
</file>

<file path=xl/calcChain.xml><?xml version="1.0" encoding="utf-8"?>
<calcChain xmlns="http://schemas.openxmlformats.org/spreadsheetml/2006/main">
  <c r="C69" i="3" l="1"/>
  <c r="A98" i="1"/>
  <c r="R98" i="1"/>
  <c r="Q98" i="1"/>
  <c r="P98" i="1"/>
  <c r="N98" i="1"/>
  <c r="M98" i="1"/>
  <c r="L98" i="1"/>
  <c r="J98" i="1"/>
  <c r="I98" i="1" s="1"/>
  <c r="H98" i="1"/>
  <c r="G98" i="1"/>
  <c r="A84" i="1"/>
  <c r="R84" i="1"/>
  <c r="Q84" i="1"/>
  <c r="P84" i="1"/>
  <c r="N84" i="1"/>
  <c r="M84" i="1"/>
  <c r="L84" i="1"/>
  <c r="J84" i="1"/>
  <c r="I84" i="1" s="1"/>
  <c r="H84" i="1"/>
  <c r="G84" i="1"/>
  <c r="A50" i="1"/>
  <c r="R50" i="1"/>
  <c r="Q50" i="1"/>
  <c r="P50" i="1"/>
  <c r="N50" i="1"/>
  <c r="M50" i="1"/>
  <c r="L50" i="1"/>
  <c r="J50" i="1"/>
  <c r="I50" i="1" s="1"/>
  <c r="H50" i="1"/>
  <c r="G50" i="1"/>
  <c r="A51" i="1"/>
  <c r="R51" i="1"/>
  <c r="Q51" i="1"/>
  <c r="P51" i="1"/>
  <c r="N51" i="1"/>
  <c r="M51" i="1"/>
  <c r="L51" i="1"/>
  <c r="J51" i="1"/>
  <c r="I51" i="1" s="1"/>
  <c r="H51" i="1"/>
  <c r="G51" i="1"/>
  <c r="A49" i="1"/>
  <c r="R49" i="1"/>
  <c r="Q49" i="1"/>
  <c r="P49" i="1"/>
  <c r="N49" i="1"/>
  <c r="M49" i="1"/>
  <c r="L49" i="1"/>
  <c r="J49" i="1"/>
  <c r="I49" i="1" s="1"/>
  <c r="H49" i="1"/>
  <c r="G49" i="1"/>
  <c r="A95" i="1"/>
  <c r="R95" i="1"/>
  <c r="Q95" i="1"/>
  <c r="P95" i="1"/>
  <c r="N95" i="1"/>
  <c r="M95" i="1"/>
  <c r="L95" i="1"/>
  <c r="J95" i="1"/>
  <c r="I95" i="1" s="1"/>
  <c r="H95" i="1"/>
  <c r="G95" i="1"/>
  <c r="A96" i="1"/>
  <c r="R96" i="1"/>
  <c r="Q96" i="1"/>
  <c r="P96" i="1"/>
  <c r="N96" i="1"/>
  <c r="M96" i="1"/>
  <c r="L96" i="1"/>
  <c r="J96" i="1"/>
  <c r="I96" i="1" s="1"/>
  <c r="H96" i="1"/>
  <c r="G96" i="1"/>
  <c r="A92" i="1"/>
  <c r="R92" i="1"/>
  <c r="Q92" i="1"/>
  <c r="P92" i="1"/>
  <c r="N92" i="1"/>
  <c r="M92" i="1"/>
  <c r="L92" i="1"/>
  <c r="J92" i="1"/>
  <c r="I92" i="1" s="1"/>
  <c r="H92" i="1"/>
  <c r="G92" i="1"/>
  <c r="A93" i="1"/>
  <c r="R93" i="1"/>
  <c r="Q93" i="1"/>
  <c r="P93" i="1"/>
  <c r="N93" i="1"/>
  <c r="M93" i="1"/>
  <c r="L93" i="1"/>
  <c r="J93" i="1"/>
  <c r="I93" i="1" s="1"/>
  <c r="H93" i="1"/>
  <c r="G93" i="1"/>
  <c r="A94" i="1"/>
  <c r="R94" i="1"/>
  <c r="Q94" i="1"/>
  <c r="P94" i="1"/>
  <c r="N94" i="1"/>
  <c r="M94" i="1"/>
  <c r="L94" i="1"/>
  <c r="J94" i="1"/>
  <c r="I94" i="1" s="1"/>
  <c r="H94" i="1"/>
  <c r="G94" i="1"/>
  <c r="A97" i="1"/>
  <c r="R97" i="1"/>
  <c r="Q97" i="1"/>
  <c r="P97" i="1"/>
  <c r="N97" i="1"/>
  <c r="M97" i="1"/>
  <c r="L97" i="1"/>
  <c r="J97" i="1"/>
  <c r="I97" i="1" s="1"/>
  <c r="H97" i="1"/>
  <c r="G97" i="1"/>
  <c r="A86" i="1"/>
  <c r="R86" i="1"/>
  <c r="Q86" i="1"/>
  <c r="P86" i="1"/>
  <c r="N86" i="1"/>
  <c r="M86" i="1"/>
  <c r="L86" i="1"/>
  <c r="J86" i="1"/>
  <c r="I86" i="1" s="1"/>
  <c r="H86" i="1"/>
  <c r="G86" i="1"/>
  <c r="A87" i="1"/>
  <c r="R87" i="1"/>
  <c r="Q87" i="1"/>
  <c r="P87" i="1"/>
  <c r="N87" i="1"/>
  <c r="M87" i="1"/>
  <c r="L87" i="1"/>
  <c r="J87" i="1"/>
  <c r="I87" i="1" s="1"/>
  <c r="H87" i="1"/>
  <c r="G87" i="1"/>
  <c r="A88" i="1"/>
  <c r="R88" i="1"/>
  <c r="Q88" i="1"/>
  <c r="P88" i="1"/>
  <c r="N88" i="1"/>
  <c r="M88" i="1"/>
  <c r="L88" i="1"/>
  <c r="J88" i="1"/>
  <c r="I88" i="1" s="1"/>
  <c r="H88" i="1"/>
  <c r="G88" i="1"/>
  <c r="A89" i="1"/>
  <c r="R89" i="1"/>
  <c r="Q89" i="1"/>
  <c r="P89" i="1"/>
  <c r="N89" i="1"/>
  <c r="M89" i="1"/>
  <c r="L89" i="1"/>
  <c r="J89" i="1"/>
  <c r="I89" i="1" s="1"/>
  <c r="H89" i="1"/>
  <c r="G89" i="1"/>
  <c r="A90" i="1"/>
  <c r="R90" i="1"/>
  <c r="Q90" i="1"/>
  <c r="P90" i="1"/>
  <c r="N90" i="1"/>
  <c r="M90" i="1"/>
  <c r="L90" i="1"/>
  <c r="J90" i="1"/>
  <c r="I90" i="1" s="1"/>
  <c r="H90" i="1"/>
  <c r="G90" i="1"/>
  <c r="A91" i="1"/>
  <c r="R91" i="1"/>
  <c r="Q91" i="1"/>
  <c r="P91" i="1"/>
  <c r="N91" i="1"/>
  <c r="M91" i="1"/>
  <c r="L91" i="1"/>
  <c r="J91" i="1"/>
  <c r="I91" i="1" s="1"/>
  <c r="H91" i="1"/>
  <c r="G91" i="1"/>
  <c r="A85" i="1"/>
  <c r="R85" i="1"/>
  <c r="Q85" i="1"/>
  <c r="P85" i="1"/>
  <c r="N85" i="1"/>
  <c r="M85" i="1"/>
  <c r="L85" i="1"/>
  <c r="J85" i="1"/>
  <c r="I85" i="1" s="1"/>
  <c r="H85" i="1"/>
  <c r="G85" i="1"/>
  <c r="A78" i="1"/>
  <c r="R78" i="1"/>
  <c r="Q78" i="1"/>
  <c r="P78" i="1"/>
  <c r="N78" i="1"/>
  <c r="M78" i="1"/>
  <c r="L78" i="1"/>
  <c r="J78" i="1"/>
  <c r="I78" i="1" s="1"/>
  <c r="H78" i="1"/>
  <c r="G78" i="1"/>
  <c r="A79" i="1"/>
  <c r="R79" i="1"/>
  <c r="Q79" i="1"/>
  <c r="P79" i="1"/>
  <c r="N79" i="1"/>
  <c r="M79" i="1"/>
  <c r="L79" i="1"/>
  <c r="J79" i="1"/>
  <c r="I79" i="1" s="1"/>
  <c r="H79" i="1"/>
  <c r="G79" i="1"/>
  <c r="A69" i="1"/>
  <c r="R69" i="1"/>
  <c r="Q69" i="1"/>
  <c r="P69" i="1"/>
  <c r="N69" i="1"/>
  <c r="M69" i="1"/>
  <c r="L69" i="1"/>
  <c r="J69" i="1"/>
  <c r="I69" i="1" s="1"/>
  <c r="H69" i="1"/>
  <c r="G69" i="1"/>
  <c r="A71" i="1"/>
  <c r="R71" i="1"/>
  <c r="Q71" i="1"/>
  <c r="P71" i="1"/>
  <c r="N71" i="1"/>
  <c r="M71" i="1"/>
  <c r="L71" i="1"/>
  <c r="J71" i="1"/>
  <c r="I71" i="1" s="1"/>
  <c r="H71" i="1"/>
  <c r="G71" i="1"/>
  <c r="A72" i="1"/>
  <c r="R72" i="1"/>
  <c r="Q72" i="1"/>
  <c r="P72" i="1"/>
  <c r="N72" i="1"/>
  <c r="M72" i="1"/>
  <c r="L72" i="1"/>
  <c r="J72" i="1"/>
  <c r="I72" i="1" s="1"/>
  <c r="H72" i="1"/>
  <c r="G72" i="1"/>
  <c r="A73" i="1"/>
  <c r="R73" i="1"/>
  <c r="Q73" i="1"/>
  <c r="P73" i="1"/>
  <c r="N73" i="1"/>
  <c r="M73" i="1"/>
  <c r="L73" i="1"/>
  <c r="J73" i="1"/>
  <c r="I73" i="1" s="1"/>
  <c r="H73" i="1"/>
  <c r="G73" i="1"/>
  <c r="A74" i="1"/>
  <c r="R74" i="1"/>
  <c r="Q74" i="1"/>
  <c r="P74" i="1"/>
  <c r="N74" i="1"/>
  <c r="M74" i="1"/>
  <c r="L74" i="1"/>
  <c r="J74" i="1"/>
  <c r="I74" i="1" s="1"/>
  <c r="H74" i="1"/>
  <c r="G74" i="1"/>
  <c r="A75" i="1"/>
  <c r="R75" i="1"/>
  <c r="Q75" i="1"/>
  <c r="P75" i="1"/>
  <c r="N75" i="1"/>
  <c r="M75" i="1"/>
  <c r="L75" i="1"/>
  <c r="J75" i="1"/>
  <c r="I75" i="1" s="1"/>
  <c r="H75" i="1"/>
  <c r="G75" i="1"/>
  <c r="A76" i="1"/>
  <c r="R76" i="1"/>
  <c r="Q76" i="1"/>
  <c r="P76" i="1"/>
  <c r="N76" i="1"/>
  <c r="M76" i="1"/>
  <c r="L76" i="1"/>
  <c r="J76" i="1"/>
  <c r="I76" i="1" s="1"/>
  <c r="H76" i="1"/>
  <c r="G76" i="1"/>
  <c r="A70" i="1"/>
  <c r="R70" i="1"/>
  <c r="Q70" i="1"/>
  <c r="P70" i="1"/>
  <c r="N70" i="1"/>
  <c r="M70" i="1"/>
  <c r="L70" i="1"/>
  <c r="J70" i="1"/>
  <c r="I70" i="1" s="1"/>
  <c r="H70" i="1"/>
  <c r="G70" i="1"/>
  <c r="A77" i="1"/>
  <c r="R77" i="1"/>
  <c r="Q77" i="1"/>
  <c r="P77" i="1"/>
  <c r="N77" i="1"/>
  <c r="M77" i="1"/>
  <c r="L77" i="1"/>
  <c r="J77" i="1"/>
  <c r="I77" i="1" s="1"/>
  <c r="H77" i="1"/>
  <c r="G77" i="1"/>
  <c r="A66" i="1"/>
  <c r="R66" i="1"/>
  <c r="Q66" i="1"/>
  <c r="P66" i="1"/>
  <c r="N66" i="1"/>
  <c r="M66" i="1"/>
  <c r="L66" i="1"/>
  <c r="J66" i="1"/>
  <c r="I66" i="1" s="1"/>
  <c r="H66" i="1"/>
  <c r="G66" i="1"/>
  <c r="A67" i="1"/>
  <c r="R67" i="1"/>
  <c r="Q67" i="1"/>
  <c r="P67" i="1"/>
  <c r="N67" i="1"/>
  <c r="M67" i="1"/>
  <c r="L67" i="1"/>
  <c r="J67" i="1"/>
  <c r="I67" i="1" s="1"/>
  <c r="H67" i="1"/>
  <c r="G67" i="1"/>
  <c r="A68" i="1"/>
  <c r="R68" i="1"/>
  <c r="Q68" i="1"/>
  <c r="P68" i="1"/>
  <c r="N68" i="1"/>
  <c r="M68" i="1"/>
  <c r="L68" i="1"/>
  <c r="J68" i="1"/>
  <c r="I68" i="1" s="1"/>
  <c r="H68" i="1"/>
  <c r="G68" i="1"/>
  <c r="A65" i="1"/>
  <c r="R65" i="1"/>
  <c r="Q65" i="1"/>
  <c r="P65" i="1"/>
  <c r="N65" i="1"/>
  <c r="M65" i="1"/>
  <c r="L65" i="1"/>
  <c r="J65" i="1"/>
  <c r="I65" i="1" s="1"/>
  <c r="H65" i="1"/>
  <c r="G65" i="1"/>
  <c r="A59" i="1"/>
  <c r="R59" i="1"/>
  <c r="Q59" i="1"/>
  <c r="P59" i="1"/>
  <c r="N59" i="1"/>
  <c r="M59" i="1"/>
  <c r="L59" i="1"/>
  <c r="J59" i="1"/>
  <c r="I59" i="1" s="1"/>
  <c r="H59" i="1"/>
  <c r="G59" i="1"/>
  <c r="A60" i="1"/>
  <c r="R60" i="1"/>
  <c r="Q60" i="1"/>
  <c r="P60" i="1"/>
  <c r="N60" i="1"/>
  <c r="M60" i="1"/>
  <c r="L60" i="1"/>
  <c r="J60" i="1"/>
  <c r="I60" i="1" s="1"/>
  <c r="H60" i="1"/>
  <c r="G60" i="1"/>
  <c r="A61" i="1"/>
  <c r="R61" i="1"/>
  <c r="Q61" i="1"/>
  <c r="P61" i="1"/>
  <c r="N61" i="1"/>
  <c r="M61" i="1"/>
  <c r="L61" i="1"/>
  <c r="J61" i="1"/>
  <c r="I61" i="1" s="1"/>
  <c r="H61" i="1"/>
  <c r="G61" i="1"/>
  <c r="A62" i="1"/>
  <c r="R62" i="1"/>
  <c r="Q62" i="1"/>
  <c r="P62" i="1"/>
  <c r="N62" i="1"/>
  <c r="M62" i="1"/>
  <c r="L62" i="1"/>
  <c r="J62" i="1"/>
  <c r="I62" i="1" s="1"/>
  <c r="H62" i="1"/>
  <c r="G62" i="1"/>
  <c r="A63" i="1"/>
  <c r="R63" i="1"/>
  <c r="Q63" i="1"/>
  <c r="P63" i="1"/>
  <c r="N63" i="1"/>
  <c r="M63" i="1"/>
  <c r="L63" i="1"/>
  <c r="J63" i="1"/>
  <c r="I63" i="1" s="1"/>
  <c r="H63" i="1"/>
  <c r="G63" i="1"/>
  <c r="A64" i="1"/>
  <c r="R64" i="1"/>
  <c r="Q64" i="1"/>
  <c r="P64" i="1"/>
  <c r="N64" i="1"/>
  <c r="M64" i="1"/>
  <c r="L64" i="1"/>
  <c r="J64" i="1"/>
  <c r="I64" i="1" s="1"/>
  <c r="H64" i="1"/>
  <c r="G64" i="1"/>
  <c r="A80" i="1"/>
  <c r="R80" i="1"/>
  <c r="Q80" i="1"/>
  <c r="P80" i="1"/>
  <c r="N80" i="1"/>
  <c r="M80" i="1"/>
  <c r="L80" i="1"/>
  <c r="J80" i="1"/>
  <c r="I80" i="1" s="1"/>
  <c r="H80" i="1"/>
  <c r="G80" i="1"/>
  <c r="A55" i="1"/>
  <c r="R55" i="1"/>
  <c r="Q55" i="1"/>
  <c r="P55" i="1"/>
  <c r="N55" i="1"/>
  <c r="M55" i="1"/>
  <c r="L55" i="1"/>
  <c r="J55" i="1"/>
  <c r="I55" i="1" s="1"/>
  <c r="H55" i="1"/>
  <c r="G55" i="1"/>
  <c r="A56" i="1"/>
  <c r="R56" i="1"/>
  <c r="Q56" i="1"/>
  <c r="P56" i="1"/>
  <c r="N56" i="1"/>
  <c r="M56" i="1"/>
  <c r="L56" i="1"/>
  <c r="J56" i="1"/>
  <c r="I56" i="1" s="1"/>
  <c r="H56" i="1"/>
  <c r="G56" i="1"/>
  <c r="A57" i="1"/>
  <c r="R57" i="1"/>
  <c r="Q57" i="1"/>
  <c r="P57" i="1"/>
  <c r="N57" i="1"/>
  <c r="M57" i="1"/>
  <c r="L57" i="1"/>
  <c r="J57" i="1"/>
  <c r="I57" i="1" s="1"/>
  <c r="H57" i="1"/>
  <c r="G57" i="1"/>
  <c r="A58" i="1"/>
  <c r="R58" i="1"/>
  <c r="Q58" i="1"/>
  <c r="P58" i="1"/>
  <c r="N58" i="1"/>
  <c r="M58" i="1"/>
  <c r="L58" i="1"/>
  <c r="J58" i="1"/>
  <c r="I58" i="1" s="1"/>
  <c r="H58" i="1"/>
  <c r="G58" i="1"/>
  <c r="A81" i="1"/>
  <c r="R81" i="1"/>
  <c r="Q81" i="1"/>
  <c r="P81" i="1"/>
  <c r="N81" i="1"/>
  <c r="M81" i="1"/>
  <c r="L81" i="1"/>
  <c r="J81" i="1"/>
  <c r="I81" i="1" s="1"/>
  <c r="H81" i="1"/>
  <c r="G81" i="1"/>
  <c r="A82" i="1"/>
  <c r="R82" i="1"/>
  <c r="Q82" i="1"/>
  <c r="P82" i="1"/>
  <c r="N82" i="1"/>
  <c r="M82" i="1"/>
  <c r="L82" i="1"/>
  <c r="J82" i="1"/>
  <c r="I82" i="1" s="1"/>
  <c r="H82" i="1"/>
  <c r="G82" i="1"/>
  <c r="A83" i="1"/>
  <c r="R83" i="1"/>
  <c r="Q83" i="1"/>
  <c r="P83" i="1"/>
  <c r="N83" i="1"/>
  <c r="M83" i="1"/>
  <c r="L83" i="1"/>
  <c r="J83" i="1"/>
  <c r="I83" i="1" s="1"/>
  <c r="H83" i="1"/>
  <c r="G83" i="1"/>
  <c r="A53" i="1"/>
  <c r="R53" i="1"/>
  <c r="Q53" i="1"/>
  <c r="P53" i="1"/>
  <c r="N53" i="1"/>
  <c r="M53" i="1"/>
  <c r="L53" i="1"/>
  <c r="J53" i="1"/>
  <c r="I53" i="1" s="1"/>
  <c r="H53" i="1"/>
  <c r="G53" i="1"/>
  <c r="A54" i="1"/>
  <c r="R54" i="1"/>
  <c r="Q54" i="1"/>
  <c r="P54" i="1"/>
  <c r="N54" i="1"/>
  <c r="M54" i="1"/>
  <c r="L54" i="1"/>
  <c r="J54" i="1"/>
  <c r="I54" i="1" s="1"/>
  <c r="H54" i="1"/>
  <c r="G54" i="1"/>
  <c r="A45" i="1"/>
  <c r="R45" i="1"/>
  <c r="Q45" i="1"/>
  <c r="P45" i="1"/>
  <c r="N45" i="1"/>
  <c r="M45" i="1"/>
  <c r="L45" i="1"/>
  <c r="J45" i="1"/>
  <c r="I45" i="1" s="1"/>
  <c r="H45" i="1"/>
  <c r="G45" i="1"/>
  <c r="A46" i="1"/>
  <c r="R46" i="1"/>
  <c r="Q46" i="1"/>
  <c r="P46" i="1"/>
  <c r="N46" i="1"/>
  <c r="M46" i="1"/>
  <c r="L46" i="1"/>
  <c r="J46" i="1"/>
  <c r="I46" i="1" s="1"/>
  <c r="H46" i="1"/>
  <c r="G46" i="1"/>
  <c r="A47" i="1"/>
  <c r="R47" i="1"/>
  <c r="Q47" i="1"/>
  <c r="P47" i="1"/>
  <c r="N47" i="1"/>
  <c r="M47" i="1"/>
  <c r="L47" i="1"/>
  <c r="J47" i="1"/>
  <c r="I47" i="1" s="1"/>
  <c r="H47" i="1"/>
  <c r="G47" i="1"/>
  <c r="A48" i="1"/>
  <c r="R48" i="1"/>
  <c r="Q48" i="1"/>
  <c r="P48" i="1"/>
  <c r="N48" i="1"/>
  <c r="M48" i="1"/>
  <c r="L48" i="1"/>
  <c r="J48" i="1"/>
  <c r="I48" i="1" s="1"/>
  <c r="H48" i="1"/>
  <c r="G48" i="1"/>
  <c r="A52" i="1"/>
  <c r="R52" i="1"/>
  <c r="Q52" i="1"/>
  <c r="P52" i="1"/>
  <c r="N52" i="1"/>
  <c r="M52" i="1"/>
  <c r="L52" i="1"/>
  <c r="J52" i="1"/>
  <c r="I52" i="1" s="1"/>
  <c r="H52" i="1"/>
  <c r="G52" i="1"/>
  <c r="A40" i="1"/>
  <c r="R40" i="1"/>
  <c r="Q40" i="1"/>
  <c r="P40" i="1"/>
  <c r="N40" i="1"/>
  <c r="M40" i="1"/>
  <c r="L40" i="1"/>
  <c r="J40" i="1"/>
  <c r="I40" i="1" s="1"/>
  <c r="H40" i="1"/>
  <c r="G40" i="1"/>
  <c r="A41" i="1"/>
  <c r="R41" i="1"/>
  <c r="Q41" i="1"/>
  <c r="P41" i="1"/>
  <c r="N41" i="1"/>
  <c r="M41" i="1"/>
  <c r="L41" i="1"/>
  <c r="J41" i="1"/>
  <c r="I41" i="1" s="1"/>
  <c r="H41" i="1"/>
  <c r="G41" i="1"/>
  <c r="A42" i="1"/>
  <c r="R42" i="1"/>
  <c r="Q42" i="1"/>
  <c r="P42" i="1"/>
  <c r="N42" i="1"/>
  <c r="M42" i="1"/>
  <c r="L42" i="1"/>
  <c r="J42" i="1"/>
  <c r="I42" i="1" s="1"/>
  <c r="H42" i="1"/>
  <c r="G42" i="1"/>
  <c r="A43" i="1"/>
  <c r="R43" i="1"/>
  <c r="Q43" i="1"/>
  <c r="P43" i="1"/>
  <c r="N43" i="1"/>
  <c r="M43" i="1"/>
  <c r="L43" i="1"/>
  <c r="J43" i="1"/>
  <c r="I43" i="1" s="1"/>
  <c r="H43" i="1"/>
  <c r="G43" i="1"/>
  <c r="A44" i="1"/>
  <c r="R44" i="1"/>
  <c r="Q44" i="1"/>
  <c r="P44" i="1"/>
  <c r="N44" i="1"/>
  <c r="M44" i="1"/>
  <c r="L44" i="1"/>
  <c r="J44" i="1"/>
  <c r="I44" i="1" s="1"/>
  <c r="H44" i="1"/>
  <c r="G44" i="1"/>
  <c r="A33" i="1"/>
  <c r="R33" i="1"/>
  <c r="Q33" i="1"/>
  <c r="P33" i="1"/>
  <c r="N33" i="1"/>
  <c r="M33" i="1"/>
  <c r="L33" i="1"/>
  <c r="J33" i="1"/>
  <c r="I33" i="1" s="1"/>
  <c r="H33" i="1"/>
  <c r="G33" i="1"/>
  <c r="A32" i="1"/>
  <c r="R32" i="1"/>
  <c r="Q32" i="1"/>
  <c r="P32" i="1"/>
  <c r="N32" i="1"/>
  <c r="M32" i="1"/>
  <c r="L32" i="1"/>
  <c r="J32" i="1"/>
  <c r="I32" i="1" s="1"/>
  <c r="H32" i="1"/>
  <c r="G32" i="1"/>
  <c r="A31" i="1"/>
  <c r="R31" i="1"/>
  <c r="P31" i="1"/>
  <c r="N31" i="1"/>
  <c r="L31" i="1"/>
  <c r="A17" i="1"/>
  <c r="R17" i="1"/>
  <c r="Q17" i="1"/>
  <c r="P17" i="1"/>
  <c r="N17" i="1"/>
  <c r="M17" i="1"/>
  <c r="L17" i="1"/>
  <c r="J17" i="1"/>
  <c r="I17" i="1" s="1"/>
  <c r="H17" i="1"/>
  <c r="G17" i="1"/>
  <c r="A21" i="1"/>
  <c r="R21" i="1"/>
  <c r="Q21" i="1"/>
  <c r="P21" i="1"/>
  <c r="N21" i="1"/>
  <c r="M21" i="1"/>
  <c r="L21" i="1"/>
  <c r="J21" i="1"/>
  <c r="I21" i="1" s="1"/>
  <c r="H21" i="1"/>
  <c r="G21" i="1"/>
  <c r="A27" i="1"/>
  <c r="R27" i="1"/>
  <c r="Q27" i="1"/>
  <c r="P27" i="1"/>
  <c r="N27" i="1"/>
  <c r="M27" i="1"/>
  <c r="L27" i="1"/>
  <c r="J27" i="1"/>
  <c r="I27" i="1" s="1"/>
  <c r="H27" i="1"/>
  <c r="G27" i="1"/>
  <c r="A28" i="1"/>
  <c r="R28" i="1"/>
  <c r="Q28" i="1"/>
  <c r="P28" i="1"/>
  <c r="N28" i="1"/>
  <c r="M28" i="1"/>
  <c r="L28" i="1"/>
  <c r="J28" i="1"/>
  <c r="I28" i="1" s="1"/>
  <c r="H28" i="1"/>
  <c r="G28" i="1"/>
  <c r="A29" i="1"/>
  <c r="R29" i="1"/>
  <c r="Q29" i="1"/>
  <c r="P29" i="1"/>
  <c r="N29" i="1"/>
  <c r="M29" i="1"/>
  <c r="L29" i="1"/>
  <c r="J29" i="1"/>
  <c r="I29" i="1" s="1"/>
  <c r="H29" i="1"/>
  <c r="G29" i="1"/>
  <c r="A23" i="1"/>
  <c r="R23" i="1"/>
  <c r="P23" i="1"/>
  <c r="N23" i="1"/>
  <c r="L23" i="1"/>
  <c r="A24" i="1"/>
  <c r="R24" i="1"/>
  <c r="Q24" i="1"/>
  <c r="P24" i="1"/>
  <c r="N24" i="1"/>
  <c r="M24" i="1"/>
  <c r="L24" i="1"/>
  <c r="J24" i="1"/>
  <c r="I24" i="1" s="1"/>
  <c r="H24" i="1"/>
  <c r="G24" i="1"/>
  <c r="A25" i="1"/>
  <c r="R25" i="1"/>
  <c r="Q25" i="1"/>
  <c r="P25" i="1"/>
  <c r="N25" i="1"/>
  <c r="M25" i="1"/>
  <c r="L25" i="1"/>
  <c r="J25" i="1"/>
  <c r="I25" i="1" s="1"/>
  <c r="H25" i="1"/>
  <c r="G25" i="1"/>
  <c r="A26" i="1"/>
  <c r="R26" i="1"/>
  <c r="Q26" i="1"/>
  <c r="P26" i="1"/>
  <c r="N26" i="1"/>
  <c r="M26" i="1"/>
  <c r="L26" i="1"/>
  <c r="J26" i="1"/>
  <c r="I26" i="1" s="1"/>
  <c r="H26" i="1"/>
  <c r="G26" i="1"/>
  <c r="A20" i="1"/>
  <c r="R20" i="1"/>
  <c r="Q20" i="1"/>
  <c r="P20" i="1"/>
  <c r="N20" i="1"/>
  <c r="M20" i="1"/>
  <c r="L20" i="1"/>
  <c r="J20" i="1"/>
  <c r="I20" i="1" s="1"/>
  <c r="H20" i="1"/>
  <c r="G20" i="1"/>
  <c r="A19" i="1"/>
  <c r="R19" i="1"/>
  <c r="Q19" i="1"/>
  <c r="P19" i="1"/>
  <c r="N19" i="1"/>
  <c r="M19" i="1"/>
  <c r="L19" i="1"/>
  <c r="J19" i="1"/>
  <c r="I19" i="1" s="1"/>
  <c r="H19" i="1"/>
  <c r="G19" i="1"/>
  <c r="A18" i="1"/>
  <c r="R18" i="1"/>
  <c r="Q18" i="1"/>
  <c r="P18" i="1"/>
  <c r="N18" i="1"/>
  <c r="M18" i="1"/>
  <c r="L18" i="1"/>
  <c r="J18" i="1"/>
  <c r="I18" i="1" s="1"/>
  <c r="H18" i="1"/>
  <c r="G18" i="1"/>
  <c r="S98" i="1" l="1"/>
  <c r="O98" i="1"/>
  <c r="S84" i="1"/>
  <c r="O42" i="1"/>
  <c r="O50" i="1"/>
  <c r="O84" i="1"/>
  <c r="S50" i="1"/>
  <c r="S49" i="1"/>
  <c r="S51" i="1"/>
  <c r="O49" i="1"/>
  <c r="O51" i="1"/>
  <c r="S96" i="1"/>
  <c r="S78" i="1"/>
  <c r="O86" i="1"/>
  <c r="O92" i="1"/>
  <c r="O95" i="1"/>
  <c r="S71" i="1"/>
  <c r="O78" i="1"/>
  <c r="S86" i="1"/>
  <c r="S92" i="1"/>
  <c r="O96" i="1"/>
  <c r="S95" i="1"/>
  <c r="O55" i="1"/>
  <c r="S55" i="1"/>
  <c r="M23" i="1"/>
  <c r="O23" i="1" s="1"/>
  <c r="J23" i="1"/>
  <c r="I23" i="1" s="1"/>
  <c r="G23" i="1"/>
  <c r="Q23" i="1"/>
  <c r="S23" i="1" s="1"/>
  <c r="H23" i="1"/>
  <c r="M31" i="1"/>
  <c r="O31" i="1" s="1"/>
  <c r="J31" i="1"/>
  <c r="I31" i="1" s="1"/>
  <c r="G31" i="1"/>
  <c r="Q31" i="1"/>
  <c r="H31" i="1"/>
  <c r="S93" i="1"/>
  <c r="O93" i="1"/>
  <c r="S94" i="1"/>
  <c r="O94" i="1"/>
  <c r="S97" i="1"/>
  <c r="O97" i="1"/>
  <c r="S85" i="1"/>
  <c r="S87" i="1"/>
  <c r="O85" i="1"/>
  <c r="S90" i="1"/>
  <c r="O87" i="1"/>
  <c r="S88" i="1"/>
  <c r="O88" i="1"/>
  <c r="S89" i="1"/>
  <c r="O89" i="1"/>
  <c r="O90" i="1"/>
  <c r="S91" i="1"/>
  <c r="O91" i="1"/>
  <c r="S69" i="1"/>
  <c r="S79" i="1"/>
  <c r="O69" i="1"/>
  <c r="O79" i="1"/>
  <c r="O71" i="1"/>
  <c r="S72" i="1"/>
  <c r="O72" i="1"/>
  <c r="S73" i="1"/>
  <c r="O73" i="1"/>
  <c r="S74" i="1"/>
  <c r="O74" i="1"/>
  <c r="S75" i="1"/>
  <c r="S70" i="1"/>
  <c r="O75" i="1"/>
  <c r="S76" i="1"/>
  <c r="O70" i="1"/>
  <c r="O76" i="1"/>
  <c r="S77" i="1"/>
  <c r="O77" i="1"/>
  <c r="S66" i="1"/>
  <c r="O66" i="1"/>
  <c r="S67" i="1"/>
  <c r="O67" i="1"/>
  <c r="S65" i="1"/>
  <c r="S68" i="1"/>
  <c r="O65" i="1"/>
  <c r="O68" i="1"/>
  <c r="O59" i="1"/>
  <c r="S59" i="1"/>
  <c r="S60" i="1"/>
  <c r="O60" i="1"/>
  <c r="S61" i="1"/>
  <c r="O61" i="1"/>
  <c r="S62" i="1"/>
  <c r="O62" i="1"/>
  <c r="S63" i="1"/>
  <c r="O63" i="1"/>
  <c r="S64" i="1"/>
  <c r="O64" i="1"/>
  <c r="S80" i="1"/>
  <c r="O80" i="1"/>
  <c r="S56" i="1"/>
  <c r="O56" i="1"/>
  <c r="S57" i="1"/>
  <c r="O57" i="1"/>
  <c r="S58" i="1"/>
  <c r="O58" i="1"/>
  <c r="S81" i="1"/>
  <c r="O81" i="1"/>
  <c r="S82" i="1"/>
  <c r="O82" i="1"/>
  <c r="S83" i="1"/>
  <c r="O83" i="1"/>
  <c r="S53" i="1"/>
  <c r="O53" i="1"/>
  <c r="S54" i="1"/>
  <c r="O54" i="1"/>
  <c r="S31" i="1"/>
  <c r="S32" i="1"/>
  <c r="S33" i="1"/>
  <c r="O40" i="1"/>
  <c r="S45" i="1"/>
  <c r="O32" i="1"/>
  <c r="O33" i="1"/>
  <c r="S40" i="1"/>
  <c r="O45" i="1"/>
  <c r="S47" i="1"/>
  <c r="S46" i="1"/>
  <c r="O47" i="1"/>
  <c r="O46" i="1"/>
  <c r="S48" i="1"/>
  <c r="O48" i="1"/>
  <c r="S52" i="1"/>
  <c r="O52" i="1"/>
  <c r="O41" i="1"/>
  <c r="S42" i="1"/>
  <c r="S41" i="1"/>
  <c r="S43" i="1"/>
  <c r="O43" i="1"/>
  <c r="S44" i="1"/>
  <c r="O44" i="1"/>
  <c r="S17" i="1"/>
  <c r="O17" i="1"/>
  <c r="S21" i="1"/>
  <c r="O21" i="1"/>
  <c r="O18" i="1"/>
  <c r="O19" i="1"/>
  <c r="S20" i="1"/>
  <c r="S27" i="1"/>
  <c r="S18" i="1"/>
  <c r="S19" i="1"/>
  <c r="O20" i="1"/>
  <c r="O27" i="1"/>
  <c r="S28" i="1"/>
  <c r="O28" i="1"/>
  <c r="S29" i="1"/>
  <c r="O29" i="1"/>
  <c r="S24" i="1"/>
  <c r="O24" i="1"/>
  <c r="S25" i="1"/>
  <c r="O25" i="1"/>
  <c r="S26" i="1"/>
  <c r="O26" i="1"/>
  <c r="E25" i="13" l="1"/>
  <c r="D25" i="13"/>
  <c r="E24" i="13"/>
  <c r="D24" i="13"/>
  <c r="E23" i="13"/>
  <c r="D23" i="13"/>
  <c r="E22" i="13"/>
  <c r="D22" i="13"/>
  <c r="E21" i="13"/>
  <c r="D21" i="13"/>
  <c r="E20" i="13"/>
  <c r="D20" i="13"/>
  <c r="E19" i="13"/>
  <c r="D19" i="13"/>
  <c r="E18" i="13"/>
  <c r="D18" i="13"/>
  <c r="E17" i="13"/>
  <c r="D17" i="13"/>
  <c r="E16" i="13"/>
  <c r="D16" i="13"/>
  <c r="E15" i="13"/>
  <c r="D15" i="13"/>
  <c r="E14" i="13"/>
  <c r="D14" i="13"/>
  <c r="E13" i="13"/>
  <c r="D13" i="13"/>
  <c r="E12" i="13"/>
  <c r="D12" i="13"/>
  <c r="E11" i="13"/>
  <c r="D11" i="13"/>
  <c r="E10" i="13"/>
  <c r="D10" i="13"/>
  <c r="E9" i="13"/>
  <c r="D9" i="13"/>
  <c r="E8" i="13"/>
  <c r="D8" i="13"/>
  <c r="E7" i="13"/>
  <c r="D7" i="13"/>
  <c r="E6" i="13"/>
  <c r="D6" i="13"/>
  <c r="E5" i="13"/>
  <c r="D5" i="13"/>
  <c r="E4" i="13"/>
  <c r="D4" i="13"/>
  <c r="E3" i="13"/>
  <c r="D3" i="13"/>
  <c r="D26" i="13" l="1"/>
  <c r="E26" i="13"/>
  <c r="CJ1" i="9"/>
  <c r="F9" i="13"/>
  <c r="A34" i="1"/>
  <c r="A35" i="1"/>
  <c r="A36" i="1"/>
  <c r="A37" i="1"/>
  <c r="A38" i="1"/>
  <c r="A39" i="1"/>
  <c r="A99" i="1"/>
  <c r="A30" i="1"/>
  <c r="A14" i="1"/>
  <c r="A15" i="1"/>
  <c r="A16" i="1"/>
  <c r="A22" i="1"/>
  <c r="C56" i="3"/>
  <c r="C43" i="3"/>
  <c r="C30" i="3"/>
  <c r="C17" i="3"/>
  <c r="C4" i="3"/>
  <c r="R36" i="1"/>
  <c r="Q36" i="1"/>
  <c r="P36" i="1"/>
  <c r="N36" i="1"/>
  <c r="M36" i="1"/>
  <c r="L36" i="1"/>
  <c r="J36" i="1"/>
  <c r="I36" i="1" s="1"/>
  <c r="H36" i="1"/>
  <c r="G36" i="1"/>
  <c r="C43" i="4"/>
  <c r="C40" i="4"/>
  <c r="C39" i="4"/>
  <c r="C38" i="4"/>
  <c r="C37" i="4"/>
  <c r="P14" i="1"/>
  <c r="Q14" i="1"/>
  <c r="R14" i="1"/>
  <c r="P15" i="1"/>
  <c r="Q15" i="1"/>
  <c r="R15" i="1"/>
  <c r="P16" i="1"/>
  <c r="Q16" i="1"/>
  <c r="R16" i="1"/>
  <c r="P22" i="1"/>
  <c r="Q22" i="1"/>
  <c r="R22" i="1"/>
  <c r="P30" i="1"/>
  <c r="Q30" i="1"/>
  <c r="R30" i="1"/>
  <c r="P34" i="1"/>
  <c r="Q34" i="1"/>
  <c r="R34" i="1"/>
  <c r="P35" i="1"/>
  <c r="Q35" i="1"/>
  <c r="R35" i="1"/>
  <c r="P37" i="1"/>
  <c r="Q37" i="1"/>
  <c r="R37" i="1"/>
  <c r="P38" i="1"/>
  <c r="Q38" i="1"/>
  <c r="R38" i="1"/>
  <c r="P39" i="1"/>
  <c r="Q39" i="1"/>
  <c r="R39" i="1"/>
  <c r="P99" i="1"/>
  <c r="Q99" i="1"/>
  <c r="R99" i="1"/>
  <c r="L14" i="1"/>
  <c r="M14" i="1"/>
  <c r="N14" i="1"/>
  <c r="L15" i="1"/>
  <c r="M15" i="1"/>
  <c r="N15" i="1"/>
  <c r="L16" i="1"/>
  <c r="M16" i="1"/>
  <c r="N16" i="1"/>
  <c r="L22" i="1"/>
  <c r="M22" i="1"/>
  <c r="N22" i="1"/>
  <c r="L30" i="1"/>
  <c r="M30" i="1"/>
  <c r="N30" i="1"/>
  <c r="L34" i="1"/>
  <c r="M34" i="1"/>
  <c r="N34" i="1"/>
  <c r="L35" i="1"/>
  <c r="M35" i="1"/>
  <c r="N35" i="1"/>
  <c r="L37" i="1"/>
  <c r="M37" i="1"/>
  <c r="N37" i="1"/>
  <c r="L38" i="1"/>
  <c r="M38" i="1"/>
  <c r="N38" i="1"/>
  <c r="L39" i="1"/>
  <c r="M39" i="1"/>
  <c r="N39" i="1"/>
  <c r="L99" i="1"/>
  <c r="M99" i="1"/>
  <c r="N99" i="1"/>
  <c r="F17" i="13"/>
  <c r="F18" i="13"/>
  <c r="F19" i="13"/>
  <c r="F21" i="13"/>
  <c r="F22" i="13"/>
  <c r="F23" i="13"/>
  <c r="F24" i="13"/>
  <c r="F25" i="13"/>
  <c r="G14" i="1"/>
  <c r="H14" i="1"/>
  <c r="J14" i="1"/>
  <c r="I14" i="1" s="1"/>
  <c r="G15" i="1"/>
  <c r="H15" i="1"/>
  <c r="J15" i="1"/>
  <c r="I15" i="1" s="1"/>
  <c r="G16" i="1"/>
  <c r="H16" i="1"/>
  <c r="J16" i="1"/>
  <c r="I16" i="1" s="1"/>
  <c r="G22" i="1"/>
  <c r="H22" i="1"/>
  <c r="J22" i="1"/>
  <c r="I22" i="1" s="1"/>
  <c r="G30" i="1"/>
  <c r="H30" i="1"/>
  <c r="J30" i="1"/>
  <c r="I30" i="1" s="1"/>
  <c r="G34" i="1"/>
  <c r="H34" i="1"/>
  <c r="J34" i="1"/>
  <c r="I34" i="1" s="1"/>
  <c r="G35" i="1"/>
  <c r="H35" i="1"/>
  <c r="J35" i="1"/>
  <c r="I35" i="1" s="1"/>
  <c r="G37" i="1"/>
  <c r="H37" i="1"/>
  <c r="J37" i="1"/>
  <c r="I37" i="1" s="1"/>
  <c r="G38" i="1"/>
  <c r="H38" i="1"/>
  <c r="J38" i="1"/>
  <c r="I38" i="1" s="1"/>
  <c r="G39" i="1"/>
  <c r="H39" i="1"/>
  <c r="J39" i="1"/>
  <c r="I39" i="1" s="1"/>
  <c r="G99" i="1"/>
  <c r="H99" i="1"/>
  <c r="J99" i="1"/>
  <c r="I99" i="1" s="1"/>
  <c r="F4" i="4"/>
  <c r="C41" i="4" s="1"/>
  <c r="F5" i="4"/>
  <c r="C42" i="4" s="1"/>
  <c r="F6" i="4"/>
  <c r="F7" i="4"/>
  <c r="C45" i="4" s="1"/>
  <c r="F8" i="4"/>
  <c r="F9" i="4"/>
  <c r="F10" i="4"/>
  <c r="F11" i="4"/>
  <c r="F12" i="4"/>
  <c r="F13" i="4"/>
  <c r="F14" i="4"/>
  <c r="F15" i="4"/>
  <c r="F16" i="4"/>
  <c r="F17" i="4"/>
  <c r="F18" i="4"/>
  <c r="F19" i="4"/>
  <c r="F20" i="4"/>
  <c r="F21" i="4"/>
  <c r="F22" i="4"/>
  <c r="F23" i="4"/>
  <c r="F24" i="4"/>
  <c r="F25" i="4"/>
  <c r="F26" i="4"/>
  <c r="F27" i="4"/>
  <c r="F28" i="4"/>
  <c r="F29" i="4"/>
  <c r="F30" i="4"/>
  <c r="F31" i="4"/>
  <c r="F32" i="4"/>
  <c r="F3" i="4"/>
  <c r="C44" i="4" s="1"/>
  <c r="C46" i="4"/>
  <c r="F33" i="4" l="1"/>
  <c r="C47" i="4"/>
  <c r="C8" i="1" s="1"/>
  <c r="F20" i="13"/>
  <c r="S15" i="1"/>
  <c r="S36" i="1"/>
  <c r="F4" i="13"/>
  <c r="F8" i="13"/>
  <c r="F10" i="13"/>
  <c r="F12" i="13"/>
  <c r="F14" i="13"/>
  <c r="F16" i="13"/>
  <c r="F13" i="13"/>
  <c r="F5" i="13"/>
  <c r="F15" i="13"/>
  <c r="F11" i="13"/>
  <c r="F3" i="13"/>
  <c r="S38" i="1"/>
  <c r="O36" i="1"/>
  <c r="O37" i="1"/>
  <c r="O14" i="1"/>
  <c r="S16" i="1"/>
  <c r="S22" i="1"/>
  <c r="O39" i="1"/>
  <c r="O34" i="1"/>
  <c r="O16" i="1"/>
  <c r="O15" i="1"/>
  <c r="S30" i="1"/>
  <c r="D37" i="4"/>
  <c r="D41" i="4"/>
  <c r="D45" i="4"/>
  <c r="S99" i="1"/>
  <c r="S39" i="1"/>
  <c r="S37" i="1"/>
  <c r="S34" i="1"/>
  <c r="S14" i="1"/>
  <c r="O99" i="1"/>
  <c r="O38" i="1"/>
  <c r="O35" i="1"/>
  <c r="O30" i="1"/>
  <c r="O22" i="1"/>
  <c r="S35" i="1"/>
  <c r="D44" i="4" l="1"/>
  <c r="D38" i="4"/>
  <c r="D43" i="4"/>
  <c r="D39" i="4"/>
  <c r="D46" i="4"/>
  <c r="D42" i="4"/>
  <c r="D40" i="4"/>
  <c r="F6" i="13"/>
  <c r="F7" i="13"/>
  <c r="G100" i="1"/>
  <c r="J100" i="1"/>
  <c r="I100" i="1" s="1"/>
  <c r="H100" i="1"/>
  <c r="S100" i="1"/>
  <c r="O100" i="1"/>
  <c r="D47" i="4" l="1"/>
  <c r="F26" i="13"/>
  <c r="J7" i="1"/>
  <c r="J8" i="1"/>
  <c r="C7" i="1"/>
  <c r="C9" i="1" s="1"/>
  <c r="H26" i="13" l="1"/>
  <c r="I26" i="13"/>
</calcChain>
</file>

<file path=xl/comments1.xml><?xml version="1.0" encoding="utf-8"?>
<comments xmlns="http://schemas.openxmlformats.org/spreadsheetml/2006/main">
  <authors>
    <author>Vasudeva Sharma</author>
  </authors>
  <commentList>
    <comment ref="B26" authorId="0">
      <text>
        <r>
          <rPr>
            <b/>
            <sz val="9"/>
            <color indexed="81"/>
            <rFont val="Tahoma"/>
            <family val="2"/>
          </rPr>
          <t>Note:</t>
        </r>
        <r>
          <rPr>
            <sz val="9"/>
            <color indexed="81"/>
            <rFont val="Tahoma"/>
            <family val="2"/>
          </rPr>
          <t xml:space="preserve">
</t>
        </r>
        <r>
          <rPr>
            <sz val="9"/>
            <color indexed="81"/>
            <rFont val="Calibri"/>
            <family val="2"/>
            <scheme val="minor"/>
          </rPr>
          <t>Total Project Effort excludes Training Effort</t>
        </r>
      </text>
    </comment>
  </commentList>
</comments>
</file>

<file path=xl/sharedStrings.xml><?xml version="1.0" encoding="utf-8"?>
<sst xmlns="http://schemas.openxmlformats.org/spreadsheetml/2006/main" count="382" uniqueCount="214">
  <si>
    <t>Task Name</t>
  </si>
  <si>
    <t>Normal Team</t>
  </si>
  <si>
    <t>Green Team</t>
  </si>
  <si>
    <t>Expert Team</t>
  </si>
  <si>
    <t>Risk Description</t>
  </si>
  <si>
    <t>Variance</t>
  </si>
  <si>
    <t>No.</t>
  </si>
  <si>
    <t>Task Type</t>
  </si>
  <si>
    <t>Design</t>
  </si>
  <si>
    <t>Deployment</t>
  </si>
  <si>
    <t>Environment</t>
  </si>
  <si>
    <t>Customer</t>
  </si>
  <si>
    <t>Project</t>
  </si>
  <si>
    <t>Estimators</t>
  </si>
  <si>
    <t>Risk Category List</t>
  </si>
  <si>
    <t>Technical</t>
  </si>
  <si>
    <t>Travel and Logistic</t>
  </si>
  <si>
    <t>Requirement and Scope</t>
  </si>
  <si>
    <t>Schedule</t>
  </si>
  <si>
    <t>Quality</t>
  </si>
  <si>
    <t>Cost</t>
  </si>
  <si>
    <t>Team</t>
  </si>
  <si>
    <t>TOTAL</t>
  </si>
  <si>
    <t>Percentage</t>
  </si>
  <si>
    <t>Green Team Productivity Multiplier</t>
  </si>
  <si>
    <t>Expert Team Productivity Multiplier</t>
  </si>
  <si>
    <t>Reviewed by</t>
  </si>
  <si>
    <t>Review Date</t>
  </si>
  <si>
    <t>Standard Deviation</t>
  </si>
  <si>
    <t>Other</t>
  </si>
  <si>
    <t>Average</t>
  </si>
  <si>
    <t>Average Risk Impact Estimate Type Summary</t>
  </si>
  <si>
    <t>TOTAL ESTIMATED RISK IMPACT</t>
  </si>
  <si>
    <t>Risk Category</t>
  </si>
  <si>
    <t>Expected Effort</t>
  </si>
  <si>
    <t>Probability of Occurrence</t>
  </si>
  <si>
    <t>TOTAL EFFORT (Green Team)</t>
  </si>
  <si>
    <t>TOTAL EFFORT (Expert Team)</t>
  </si>
  <si>
    <t>Testing</t>
  </si>
  <si>
    <t>Note:</t>
  </si>
  <si>
    <t>These documents should always be kept securely and employees shall use</t>
  </si>
  <si>
    <t>reasonable care protecting these documents from unauthorized use or disclosure to a third party.</t>
  </si>
  <si>
    <t xml:space="preserve">These documents are strictly for specific Virtusa/Client use only. </t>
  </si>
  <si>
    <t xml:space="preserve">They shall not be shared with an external party other than the Client concerned.   </t>
  </si>
  <si>
    <t>This category also covers Client intellectual property where Virtusa has a non-disclosure agreement with the Client.</t>
  </si>
  <si>
    <t xml:space="preserve">CLIENT CONFIDENTIAL           Template ID:TMP-PM-PE-5-001         Copyright © 2004 Virtusa Corporation           </t>
  </si>
  <si>
    <t>Project Estimate 3P</t>
  </si>
  <si>
    <t>Project Planning</t>
  </si>
  <si>
    <t>Project Tracking</t>
  </si>
  <si>
    <t>Requirements</t>
  </si>
  <si>
    <t>Code Review</t>
  </si>
  <si>
    <t>Test Cycle 1</t>
  </si>
  <si>
    <t>Average Risk - Hours</t>
  </si>
  <si>
    <t>Expected Effort - P Hours 
(Normal Team)</t>
  </si>
  <si>
    <t>Optimistic Effort
P Hours</t>
  </si>
  <si>
    <t>Most Likely Effort
P Hours</t>
  </si>
  <si>
    <t>Pessimistic Effort
P Hours</t>
  </si>
  <si>
    <t>Total Risk Impact Estimate (P Hours)</t>
  </si>
  <si>
    <t>Total Effort Estimate (P Hours)</t>
  </si>
  <si>
    <t>Expected Effort
P Hours
(Green Team)</t>
  </si>
  <si>
    <t>Expected Effort
P Hours
(Expert Team)</t>
  </si>
  <si>
    <t>See below for Risk Impact Summary</t>
  </si>
  <si>
    <t>Expected Risk Impact
P Hours</t>
  </si>
  <si>
    <t>Estimated impact
P Hours</t>
  </si>
  <si>
    <t>Chorus Risk Id</t>
  </si>
  <si>
    <r>
      <t>1.</t>
    </r>
    <r>
      <rPr>
        <sz val="7"/>
        <color indexed="12"/>
        <rFont val="Times New Roman"/>
        <family val="1"/>
      </rPr>
      <t xml:space="preserve">       </t>
    </r>
    <r>
      <rPr>
        <sz val="11"/>
        <color indexed="12"/>
        <rFont val="Calibri"/>
        <family val="2"/>
      </rPr>
      <t>Guidelines for determining the best, most likely, and worst case estimates</t>
    </r>
  </si>
  <si>
    <r>
      <t>a.</t>
    </r>
    <r>
      <rPr>
        <sz val="7"/>
        <color indexed="12"/>
        <rFont val="Times New Roman"/>
        <family val="1"/>
      </rPr>
      <t xml:space="preserve">       </t>
    </r>
    <r>
      <rPr>
        <sz val="11"/>
        <color indexed="12"/>
        <rFont val="Calibri"/>
        <family val="2"/>
      </rPr>
      <t>Best case is usually on slightly better than most likely.  If best case is more than 25% less than most likely it is probably not valid (e.g. most likely 8hr, best case 6 hrs is OK,  most likely 8hr, best case 4hr is not a good estimate)</t>
    </r>
  </si>
  <si>
    <r>
      <t>b.</t>
    </r>
    <r>
      <rPr>
        <sz val="7"/>
        <color indexed="12"/>
        <rFont val="Times New Roman"/>
        <family val="1"/>
      </rPr>
      <t xml:space="preserve">      </t>
    </r>
    <r>
      <rPr>
        <sz val="11"/>
        <color indexed="12"/>
        <rFont val="Calibri"/>
        <family val="2"/>
      </rPr>
      <t>Worst case is usually significantly more than most likely.  Worst case  is usually between 50% and 300% more than most likely case (e.g. most likely 8hr, worst case 16hr is OK, most likely 8hr, worst case 10hr is probably not a good estimate)</t>
    </r>
  </si>
  <si>
    <r>
      <t>c.</t>
    </r>
    <r>
      <rPr>
        <sz val="7"/>
        <color indexed="12"/>
        <rFont val="Times New Roman"/>
        <family val="1"/>
      </rPr>
      <t xml:space="preserve">       </t>
    </r>
    <r>
      <rPr>
        <sz val="11"/>
        <color indexed="12"/>
        <rFont val="Calibri"/>
        <family val="2"/>
      </rPr>
      <t>These guidelines are based on the shape of the probability curve (see below) for completing software tasks.</t>
    </r>
  </si>
  <si>
    <r>
      <t>2.</t>
    </r>
    <r>
      <rPr>
        <sz val="7"/>
        <color indexed="12"/>
        <rFont val="Times New Roman"/>
        <family val="1"/>
      </rPr>
      <t xml:space="preserve">       </t>
    </r>
    <r>
      <rPr>
        <sz val="11"/>
        <color indexed="12"/>
        <rFont val="Calibri"/>
        <family val="2"/>
      </rPr>
      <t>The risks need to be identified and quantified with level of effort and probability.  This is important because the risk buffer for the project estimate is generated as the sum of the risk buffer for each risk and the risk buffer for a risk is the probability times the level of effort.</t>
    </r>
  </si>
  <si>
    <r>
      <t>a.</t>
    </r>
    <r>
      <rPr>
        <sz val="7"/>
        <color indexed="12"/>
        <rFont val="Times New Roman"/>
        <family val="1"/>
      </rPr>
      <t xml:space="preserve">       </t>
    </r>
    <r>
      <rPr>
        <sz val="11"/>
        <color indexed="12"/>
        <rFont val="Calibri"/>
        <family val="2"/>
      </rPr>
      <t>This should be documented.</t>
    </r>
  </si>
  <si>
    <r>
      <t>3.</t>
    </r>
    <r>
      <rPr>
        <sz val="7"/>
        <color indexed="12"/>
        <rFont val="Times New Roman"/>
        <family val="1"/>
      </rPr>
      <t xml:space="preserve">       </t>
    </r>
    <r>
      <rPr>
        <sz val="11"/>
        <color indexed="12"/>
        <rFont val="Calibri"/>
        <family val="2"/>
      </rPr>
      <t>The estimate should be taken off of the summary page. If a single number is desired than the 84% confidence level should be used.  If a range is desired then the lower point should be the 50% confidence level and the upper range should be the 98% confidence level.</t>
    </r>
  </si>
  <si>
    <r>
      <t>a.</t>
    </r>
    <r>
      <rPr>
        <sz val="7"/>
        <color indexed="12"/>
        <rFont val="Times New Roman"/>
        <family val="1"/>
      </rPr>
      <t xml:space="preserve">       </t>
    </r>
    <r>
      <rPr>
        <sz val="11"/>
        <color indexed="12"/>
        <rFont val="Calibri"/>
        <family val="2"/>
      </rPr>
      <t>One common error is to use the total expected effort from the detailed task estimate sheet.  This provides an underestimate in two ways.    One there is no risk buffer, and two this is a 50% confidence level implying that 50% of projects will finish after this timeframe.</t>
    </r>
  </si>
  <si>
    <r>
      <t>b.</t>
    </r>
    <r>
      <rPr>
        <sz val="7"/>
        <color indexed="12"/>
        <rFont val="Times New Roman"/>
        <family val="1"/>
      </rPr>
      <t xml:space="preserve">      </t>
    </r>
    <r>
      <rPr>
        <sz val="11"/>
        <color indexed="12"/>
        <rFont val="Calibri"/>
        <family val="2"/>
      </rPr>
      <t>Another common error is to use the Expected effort from the summary sheet.  This includes the risk buffer, but still has the 50% confidence level issue.</t>
    </r>
  </si>
  <si>
    <r>
      <t xml:space="preserve">Assumptions </t>
    </r>
    <r>
      <rPr>
        <sz val="11"/>
        <rFont val="Calibri"/>
        <family val="2"/>
      </rPr>
      <t>(List out all assumptions related to the estimates)</t>
    </r>
  </si>
  <si>
    <r>
      <t>Risk Impact Details</t>
    </r>
    <r>
      <rPr>
        <b/>
        <sz val="8"/>
        <rFont val="Calibri"/>
        <family val="2"/>
      </rPr>
      <t xml:space="preserve"> </t>
    </r>
    <r>
      <rPr>
        <sz val="9"/>
        <rFont val="Calibri"/>
        <family val="2"/>
      </rPr>
      <t>(List out all identified risks and estimate impact in terms of effort)</t>
    </r>
  </si>
  <si>
    <t>&lt; End of Data &gt;</t>
  </si>
  <si>
    <r>
      <rPr>
        <u/>
        <sz val="11"/>
        <rFont val="Calibri"/>
        <family val="2"/>
      </rPr>
      <t>Please Note:</t>
    </r>
    <r>
      <rPr>
        <sz val="11"/>
        <rFont val="Calibri"/>
        <family val="2"/>
      </rPr>
      <t xml:space="preserve"> All kinds of assumptions that have an impact on the project estimates and project schedule should be documented and their corresponding impact assessed and aligned to the estimate</t>
    </r>
  </si>
  <si>
    <t>Guidelines</t>
  </si>
  <si>
    <t>Scope Related Assumptions</t>
  </si>
  <si>
    <t>General Assumptions</t>
  </si>
  <si>
    <t>Technical Assumptions</t>
  </si>
  <si>
    <t>Environment Related Assumptions</t>
  </si>
  <si>
    <t>Team and Skill Related Assumptions</t>
  </si>
  <si>
    <t>Re-use Related Assumptions</t>
  </si>
  <si>
    <t>Assumptions</t>
  </si>
  <si>
    <t>Description</t>
  </si>
  <si>
    <t>&lt;&lt;other adjustment factors&gt;&gt;</t>
  </si>
  <si>
    <t>Project Management</t>
  </si>
  <si>
    <t>Implementation</t>
  </si>
  <si>
    <t>Estimation Metrics</t>
  </si>
  <si>
    <t>Average Vacation and Sick Percentage</t>
  </si>
  <si>
    <t>Design Review</t>
  </si>
  <si>
    <t>Design Rework</t>
  </si>
  <si>
    <t>Code Rework</t>
  </si>
  <si>
    <t>Deployment Review</t>
  </si>
  <si>
    <t>Deployment Rework</t>
  </si>
  <si>
    <t>Cost of Quality</t>
  </si>
  <si>
    <t>Cost of Poor Quality</t>
  </si>
  <si>
    <t>Project Type</t>
  </si>
  <si>
    <t>OcM</t>
  </si>
  <si>
    <t>Requirements Review</t>
  </si>
  <si>
    <t>Requirements Rework</t>
  </si>
  <si>
    <t>Design Development</t>
  </si>
  <si>
    <t>Code Development</t>
  </si>
  <si>
    <t xml:space="preserve">Dev TC </t>
  </si>
  <si>
    <t xml:space="preserve">Dev Testing </t>
  </si>
  <si>
    <t>QA TC/Script Review</t>
  </si>
  <si>
    <t>QA TC/Script Rework</t>
  </si>
  <si>
    <t xml:space="preserve">QA Testing </t>
  </si>
  <si>
    <t>Optimistic</t>
  </si>
  <si>
    <t>Pessimistic</t>
  </si>
  <si>
    <t>Expected</t>
  </si>
  <si>
    <t>Effort %</t>
  </si>
  <si>
    <t>Phase</t>
  </si>
  <si>
    <t>COQ</t>
  </si>
  <si>
    <t>COPQ</t>
  </si>
  <si>
    <t>Yes</t>
  </si>
  <si>
    <t>Requirements Dev</t>
  </si>
  <si>
    <t>QA TC/Script Dev</t>
  </si>
  <si>
    <t>Deployment Dev</t>
  </si>
  <si>
    <t>Architecture Dev</t>
  </si>
  <si>
    <t>Architecture Review</t>
  </si>
  <si>
    <t>Architecture Rework</t>
  </si>
  <si>
    <t>Total Project Effort</t>
  </si>
  <si>
    <r>
      <rPr>
        <b/>
        <sz val="10"/>
        <rFont val="Calibri"/>
        <family val="2"/>
        <scheme val="minor"/>
      </rPr>
      <t xml:space="preserve">84% </t>
    </r>
    <r>
      <rPr>
        <sz val="10"/>
        <rFont val="Calibri"/>
        <family val="2"/>
        <scheme val="minor"/>
      </rPr>
      <t xml:space="preserve">Confidence Estimate (P Hours) </t>
    </r>
    <r>
      <rPr>
        <b/>
        <sz val="10"/>
        <rFont val="Calibri"/>
        <family val="2"/>
        <scheme val="minor"/>
      </rPr>
      <t>(Recommended)</t>
    </r>
  </si>
  <si>
    <r>
      <rPr>
        <b/>
        <sz val="10"/>
        <rFont val="Calibri"/>
        <family val="2"/>
        <scheme val="minor"/>
      </rPr>
      <t xml:space="preserve">50% </t>
    </r>
    <r>
      <rPr>
        <sz val="10"/>
        <rFont val="Calibri"/>
        <family val="2"/>
        <scheme val="minor"/>
      </rPr>
      <t>Confidence Estimate (P Hours)</t>
    </r>
  </si>
  <si>
    <r>
      <rPr>
        <b/>
        <sz val="10"/>
        <rFont val="Calibri"/>
        <family val="2"/>
        <scheme val="minor"/>
      </rPr>
      <t xml:space="preserve">98% </t>
    </r>
    <r>
      <rPr>
        <sz val="10"/>
        <rFont val="Calibri"/>
        <family val="2"/>
        <scheme val="minor"/>
      </rPr>
      <t>Confidence Estimate (P Hours)</t>
    </r>
  </si>
  <si>
    <r>
      <t xml:space="preserve">Green Team Sanity Check
</t>
    </r>
    <r>
      <rPr>
        <sz val="10"/>
        <rFont val="Calibri"/>
        <family val="2"/>
        <scheme val="minor"/>
      </rPr>
      <t>Green team is with all junior team members. Use this figure to sanity check the Normal team estimate.</t>
    </r>
  </si>
  <si>
    <r>
      <t xml:space="preserve">Expert Team Sanity Check
</t>
    </r>
    <r>
      <rPr>
        <sz val="10"/>
        <rFont val="Calibri"/>
        <family val="2"/>
        <scheme val="minor"/>
      </rPr>
      <t>Expert team has expert level experience in doing the task. Use this figure to sanity check the Normal team estimate.</t>
    </r>
  </si>
  <si>
    <t>Refer  to PPB in Process Database for the suggested values</t>
  </si>
  <si>
    <t>School Management System</t>
  </si>
  <si>
    <t>Development</t>
  </si>
  <si>
    <t>For P1 and P2 defect verification - time includes data setup as well</t>
  </si>
  <si>
    <t>Smoke test time includes data setup time as well</t>
  </si>
  <si>
    <t>The given time for smoke testing is only for the admin user testing</t>
  </si>
  <si>
    <t xml:space="preserve">    Defect Reporting</t>
  </si>
  <si>
    <t>Madhushani Tilakarane</t>
  </si>
  <si>
    <t xml:space="preserve">    Set up QA Test Environment</t>
  </si>
  <si>
    <t xml:space="preserve">    Smoke Testing</t>
  </si>
  <si>
    <t xml:space="preserve">        Test Execution and Reporting</t>
  </si>
  <si>
    <t xml:space="preserve">        Defect Reporting</t>
  </si>
  <si>
    <t xml:space="preserve">   Functional Testing</t>
  </si>
  <si>
    <t xml:space="preserve">        Download Template</t>
  </si>
  <si>
    <t xml:space="preserve">        Upload Classes</t>
  </si>
  <si>
    <t xml:space="preserve">        Upload Grades</t>
  </si>
  <si>
    <t xml:space="preserve">        Upload Subjects</t>
  </si>
  <si>
    <t xml:space="preserve">        Upload Student Details</t>
  </si>
  <si>
    <t xml:space="preserve">        Upload Parent Details</t>
  </si>
  <si>
    <t xml:space="preserve">        Upload Staff Details</t>
  </si>
  <si>
    <t xml:space="preserve">   Performance Testing</t>
  </si>
  <si>
    <t xml:space="preserve">   Volume Testing</t>
  </si>
  <si>
    <t xml:space="preserve">   Defect Reporting</t>
  </si>
  <si>
    <t>Test Cycle 2</t>
  </si>
  <si>
    <t xml:space="preserve">                      P1 and P2 Defect Verification</t>
  </si>
  <si>
    <t xml:space="preserve">                Set up QA Test Environment</t>
  </si>
  <si>
    <t xml:space="preserve">                Smoke Testing</t>
  </si>
  <si>
    <t xml:space="preserve">                       Test Execution and Reporting</t>
  </si>
  <si>
    <t xml:space="preserve">                       Defect Reporting</t>
  </si>
  <si>
    <t xml:space="preserve">                Functional Testing</t>
  </si>
  <si>
    <t xml:space="preserve">                        Defect Verification</t>
  </si>
  <si>
    <t xml:space="preserve">               Non Functional Testing</t>
  </si>
  <si>
    <t xml:space="preserve">                       Concurrency Testing</t>
  </si>
  <si>
    <t>Test Cycle 3</t>
  </si>
  <si>
    <t xml:space="preserve">              Regression Testing</t>
  </si>
  <si>
    <t xml:space="preserve">                   Functional Bulk Upload</t>
  </si>
  <si>
    <t xml:space="preserve">                 Non Functional Bulk Upload</t>
  </si>
  <si>
    <t>Security Testing- Akura Other Modules</t>
  </si>
  <si>
    <t>Test Reporting</t>
  </si>
  <si>
    <t xml:space="preserve">    Daily Test Status </t>
  </si>
  <si>
    <t>End of Cycle Test Summary Report</t>
  </si>
  <si>
    <t>There will only be 3 test cycles for the release</t>
  </si>
  <si>
    <t>All 150 defects (P1 and P2) are assigned for verification</t>
  </si>
  <si>
    <t>Security Testing- Bulk Upload</t>
  </si>
  <si>
    <t>Defect Reporting time = 10% of test execution time for each testing type</t>
  </si>
  <si>
    <t>Security execution time includes Ajax Checking time and Environment setting time</t>
  </si>
  <si>
    <t>For cycle 3, only bulk upload related defects will be assigned for verifiacation</t>
  </si>
  <si>
    <t>No P1 and P2 defects will be re-opened so there will be no second verification of those defects</t>
  </si>
  <si>
    <t xml:space="preserve">                        Defect Verification - security testing</t>
  </si>
  <si>
    <t>Regression Testing of Bulk Upload module includes full functional testing of the module</t>
  </si>
  <si>
    <t xml:space="preserve">Testing time mentioned is only for a single browser testing </t>
  </si>
  <si>
    <t>Regression testing will not cover security testing</t>
  </si>
  <si>
    <t xml:space="preserve">Regression Testing- Akura Other Modules </t>
  </si>
  <si>
    <t>QA Release Note</t>
  </si>
  <si>
    <t>Test cycle 1 will be completed within 6 days (daily status = 0.5 * 6)</t>
  </si>
  <si>
    <t>Test cycle 1 will be completed within 6 days (daily status = 0.5 * 7)</t>
  </si>
  <si>
    <t>Test cycle 1 will be completed within 6 days (daily status = 0.5 * 12)</t>
  </si>
  <si>
    <t>Any issue related to Test Environment will impact the time lines</t>
  </si>
  <si>
    <t>Any performance bottleneck identified during testing which require design change or any considerable fixing time will impact on the timelines</t>
  </si>
  <si>
    <t>Any Security  bottleneck identified during testing which require design change or any considerable fixing time will impact on the timelines</t>
  </si>
  <si>
    <t>Any delays in getting release for testing will impact the time lines</t>
  </si>
  <si>
    <t>Akura resources being pulled into other projects</t>
  </si>
  <si>
    <t xml:space="preserve">For bulk upload test execution time includes data time to create test data </t>
  </si>
  <si>
    <t xml:space="preserve">Developer Release note will include new features and all the afecting areas and fixed defects </t>
  </si>
  <si>
    <t>All the QA resources of the team will be available during the time of testing</t>
  </si>
  <si>
    <t>Test Environment Setup time includes tag deployment time, allocating modules among the testing team</t>
  </si>
  <si>
    <t>If new functnalities added that time will be separately estimated</t>
  </si>
  <si>
    <t>Test Cycle 2 and Test Cycle 3 time will be depend on the number of defects fixes given for the each release</t>
  </si>
  <si>
    <t>Experince user will spend the mostlikely estimated time to execute the testing tasks</t>
  </si>
  <si>
    <t xml:space="preserve">Testing Environment is ready at the time of testing starts </t>
  </si>
  <si>
    <t>Browser versions will not be updated during the time of test execution</t>
  </si>
  <si>
    <t>Any additional requirement not mention in this estimate will be estimated separately</t>
  </si>
  <si>
    <t xml:space="preserve">All smoke test cases need to have passed in order to accept the build for functinal testing </t>
  </si>
  <si>
    <t>Functional Testing time includes functional Test results updation time as well</t>
  </si>
  <si>
    <t>Smoke Testing time includes smoke Test results updation time as well</t>
  </si>
  <si>
    <t>Functional Testing conducted on FF,Chrome and IE browsers</t>
  </si>
  <si>
    <t>Security testing will be conducted only in FF browser</t>
  </si>
  <si>
    <t>Smoke testing conducted on only on FF browsers</t>
  </si>
  <si>
    <t>For security testing the system will behave as normal even after the client side validations are switeed off</t>
  </si>
  <si>
    <t>Test Cycle 2 will allocate time for the verifying defects from the Test Cycle 1, depends on number of fixed defects in Test Cycle 1</t>
  </si>
  <si>
    <t>Test Cycle 3 will allocate time for the verifying defects from the Test Cycle 2, depends on number of fixed defects nd Test Cycle 2</t>
  </si>
  <si>
    <t>Data Migration testing time will not included in the estimate</t>
  </si>
  <si>
    <t>Testing time consider only with empty DB</t>
  </si>
  <si>
    <t>For security testing the Ajax call are only available only in the estimated pages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</si>
</sst>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
    <numFmt numFmtId="166" formatCode="[$-409]dd\-mmm\-yy;@"/>
  </numFmts>
  <fonts count="29" x14ac:knownFonts="1">
    <font>
      <sz val="10"/>
      <name val="Arial"/>
    </font>
    <font>
      <sz val="8"/>
      <name val="Arial"/>
      <family val="2"/>
    </font>
    <font>
      <b/>
      <sz val="8"/>
      <name val="Arial"/>
      <family val="2"/>
    </font>
    <font>
      <b/>
      <sz val="12"/>
      <name val="Arial"/>
      <family val="2"/>
    </font>
    <font>
      <u/>
      <sz val="10"/>
      <color indexed="12"/>
      <name val="Arial"/>
      <family val="2"/>
    </font>
    <font>
      <b/>
      <u/>
      <sz val="10"/>
      <name val="Arial"/>
      <family val="2"/>
    </font>
    <font>
      <sz val="10"/>
      <name val="Arial"/>
      <family val="2"/>
    </font>
    <font>
      <sz val="10"/>
      <color indexed="8"/>
      <name val="Arial"/>
      <family val="2"/>
    </font>
    <font>
      <b/>
      <sz val="8"/>
      <name val="Calibri"/>
      <family val="2"/>
    </font>
    <font>
      <sz val="11"/>
      <name val="Calibri"/>
      <family val="2"/>
    </font>
    <font>
      <sz val="9"/>
      <name val="Calibri"/>
      <family val="2"/>
    </font>
    <font>
      <sz val="11"/>
      <color indexed="12"/>
      <name val="Calibri"/>
      <family val="2"/>
    </font>
    <font>
      <sz val="7"/>
      <color indexed="12"/>
      <name val="Times New Roman"/>
      <family val="1"/>
    </font>
    <font>
      <u/>
      <sz val="11"/>
      <name val="Calibri"/>
      <family val="2"/>
    </font>
    <font>
      <sz val="11"/>
      <name val="Calibri"/>
      <family val="2"/>
      <scheme val="minor"/>
    </font>
    <font>
      <b/>
      <sz val="11"/>
      <name val="Calibri"/>
      <family val="2"/>
      <scheme val="minor"/>
    </font>
    <font>
      <b/>
      <sz val="10"/>
      <name val="Calibri"/>
      <family val="2"/>
      <scheme val="minor"/>
    </font>
    <font>
      <sz val="10"/>
      <name val="Calibri"/>
      <family val="2"/>
      <scheme val="minor"/>
    </font>
    <font>
      <u/>
      <sz val="11"/>
      <color indexed="12"/>
      <name val="Calibri"/>
      <family val="2"/>
      <scheme val="minor"/>
    </font>
    <font>
      <b/>
      <sz val="14"/>
      <name val="Calibri"/>
      <family val="2"/>
      <scheme val="minor"/>
    </font>
    <font>
      <b/>
      <sz val="16"/>
      <name val="Calibri"/>
      <family val="2"/>
      <scheme val="minor"/>
    </font>
    <font>
      <sz val="10"/>
      <name val="Arial"/>
      <family val="2"/>
    </font>
    <font>
      <b/>
      <sz val="10"/>
      <name val="Arial"/>
      <family val="2"/>
    </font>
    <font>
      <sz val="10"/>
      <color theme="0"/>
      <name val="Arial"/>
      <family val="2"/>
    </font>
    <font>
      <sz val="9"/>
      <color indexed="81"/>
      <name val="Tahoma"/>
      <family val="2"/>
    </font>
    <font>
      <b/>
      <sz val="9"/>
      <color indexed="81"/>
      <name val="Tahoma"/>
      <family val="2"/>
    </font>
    <font>
      <sz val="10"/>
      <color indexed="48"/>
      <name val="Calibri"/>
      <family val="2"/>
      <scheme val="minor"/>
    </font>
    <font>
      <sz val="9"/>
      <color rgb="FF3333CC"/>
      <name val="Calibri"/>
      <family val="2"/>
      <scheme val="minor"/>
    </font>
    <font>
      <sz val="9"/>
      <color indexed="81"/>
      <name val="Calibri"/>
      <family val="2"/>
      <scheme val="minor"/>
    </font>
  </fonts>
  <fills count="12">
    <fill>
      <patternFill patternType="none"/>
    </fill>
    <fill>
      <patternFill patternType="gray125"/>
    </fill>
    <fill>
      <patternFill patternType="solid">
        <fgColor indexed="42"/>
        <bgColor indexed="64"/>
      </patternFill>
    </fill>
    <fill>
      <patternFill patternType="solid">
        <fgColor indexed="55"/>
        <bgColor indexed="64"/>
      </patternFill>
    </fill>
    <fill>
      <patternFill patternType="solid">
        <fgColor indexed="22"/>
        <bgColor indexed="64"/>
      </patternFill>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rgb="FFCCFFFF"/>
        <bgColor indexed="64"/>
      </patternFill>
    </fill>
    <fill>
      <patternFill patternType="solid">
        <fgColor theme="0" tint="-0.249977111117893"/>
        <bgColor indexed="64"/>
      </patternFill>
    </fill>
    <fill>
      <patternFill patternType="solid">
        <fgColor theme="9"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hair">
        <color indexed="64"/>
      </bottom>
      <diagonal/>
    </border>
  </borders>
  <cellStyleXfs count="3">
    <xf numFmtId="0" fontId="0" fillId="0" borderId="0"/>
    <xf numFmtId="0" fontId="4" fillId="0" borderId="0" applyNumberFormat="0" applyFill="0" applyBorder="0" applyAlignment="0" applyProtection="0">
      <alignment vertical="top"/>
      <protection locked="0"/>
    </xf>
    <xf numFmtId="9" fontId="21" fillId="0" borderId="0" applyFont="0" applyFill="0" applyBorder="0" applyAlignment="0" applyProtection="0"/>
  </cellStyleXfs>
  <cellXfs count="166">
    <xf numFmtId="0" fontId="0" fillId="0" borderId="0" xfId="0"/>
    <xf numFmtId="0" fontId="1" fillId="2" borderId="1" xfId="0" applyFont="1" applyFill="1" applyBorder="1"/>
    <xf numFmtId="0" fontId="1" fillId="0" borderId="1" xfId="0" applyFont="1" applyBorder="1" applyAlignment="1">
      <alignment horizontal="right"/>
    </xf>
    <xf numFmtId="0" fontId="2" fillId="2" borderId="1" xfId="0" applyFont="1" applyFill="1" applyBorder="1"/>
    <xf numFmtId="0" fontId="5" fillId="3" borderId="0" xfId="0" applyFont="1" applyFill="1" applyBorder="1" applyAlignment="1">
      <alignment horizontal="left"/>
    </xf>
    <xf numFmtId="0" fontId="0" fillId="3" borderId="0" xfId="0" applyFill="1" applyBorder="1" applyAlignment="1">
      <alignment horizontal="left"/>
    </xf>
    <xf numFmtId="0" fontId="6" fillId="3" borderId="0" xfId="0" applyFont="1" applyFill="1" applyBorder="1" applyAlignment="1">
      <alignment horizontal="left"/>
    </xf>
    <xf numFmtId="0" fontId="0" fillId="3" borderId="0" xfId="0" applyFill="1" applyBorder="1"/>
    <xf numFmtId="0" fontId="14" fillId="0" borderId="0" xfId="0" applyFont="1"/>
    <xf numFmtId="0" fontId="16" fillId="8" borderId="0" xfId="0" applyFont="1" applyFill="1" applyBorder="1" applyAlignment="1" applyProtection="1">
      <alignment horizontal="center" vertical="center" wrapText="1"/>
    </xf>
    <xf numFmtId="0" fontId="17" fillId="0" borderId="0" xfId="0" applyFont="1" applyAlignment="1" applyProtection="1">
      <alignment vertical="center"/>
    </xf>
    <xf numFmtId="164" fontId="17" fillId="0" borderId="2" xfId="0" applyNumberFormat="1" applyFont="1" applyBorder="1" applyAlignment="1" applyProtection="1">
      <alignment vertical="center"/>
      <protection locked="0"/>
    </xf>
    <xf numFmtId="164" fontId="17" fillId="8" borderId="0" xfId="0" applyNumberFormat="1" applyFont="1" applyFill="1" applyBorder="1" applyAlignment="1" applyProtection="1">
      <alignment vertical="center"/>
    </xf>
    <xf numFmtId="164" fontId="17" fillId="2" borderId="4" xfId="0" applyNumberFormat="1" applyFont="1" applyFill="1" applyBorder="1" applyAlignment="1" applyProtection="1">
      <alignment vertical="center"/>
    </xf>
    <xf numFmtId="164" fontId="17" fillId="2" borderId="2" xfId="0" applyNumberFormat="1" applyFont="1" applyFill="1" applyBorder="1" applyAlignment="1" applyProtection="1">
      <alignment vertical="center"/>
    </xf>
    <xf numFmtId="164" fontId="16" fillId="5" borderId="2" xfId="0" applyNumberFormat="1" applyFont="1" applyFill="1" applyBorder="1" applyAlignment="1" applyProtection="1">
      <alignment vertical="center"/>
    </xf>
    <xf numFmtId="164" fontId="16" fillId="5" borderId="3" xfId="0" applyNumberFormat="1" applyFont="1" applyFill="1" applyBorder="1" applyAlignment="1" applyProtection="1">
      <alignment vertical="center"/>
    </xf>
    <xf numFmtId="164" fontId="17" fillId="0" borderId="0" xfId="0" applyNumberFormat="1" applyFont="1" applyAlignment="1" applyProtection="1">
      <alignment vertical="center"/>
    </xf>
    <xf numFmtId="164" fontId="16" fillId="2" borderId="1" xfId="0" applyNumberFormat="1" applyFont="1" applyFill="1" applyBorder="1" applyAlignment="1" applyProtection="1">
      <alignment vertical="center"/>
    </xf>
    <xf numFmtId="0" fontId="17" fillId="8" borderId="0" xfId="0" applyFont="1" applyFill="1" applyBorder="1" applyAlignment="1" applyProtection="1">
      <alignment vertical="center"/>
    </xf>
    <xf numFmtId="164" fontId="16" fillId="5" borderId="1" xfId="0" applyNumberFormat="1" applyFont="1" applyFill="1" applyBorder="1" applyAlignment="1" applyProtection="1">
      <alignment vertical="center"/>
    </xf>
    <xf numFmtId="0" fontId="16" fillId="0" borderId="0" xfId="0" applyFont="1" applyAlignment="1" applyProtection="1">
      <alignment vertical="center"/>
    </xf>
    <xf numFmtId="0" fontId="17" fillId="0" borderId="0" xfId="0" applyFont="1" applyFill="1" applyAlignment="1" applyProtection="1">
      <alignment vertical="center"/>
    </xf>
    <xf numFmtId="0" fontId="0" fillId="8" borderId="0" xfId="0" applyFill="1"/>
    <xf numFmtId="0" fontId="7" fillId="8" borderId="0" xfId="0" applyFont="1" applyFill="1"/>
    <xf numFmtId="0" fontId="15" fillId="4" borderId="5" xfId="0" applyFont="1" applyFill="1" applyBorder="1" applyAlignment="1">
      <alignment horizontal="center" vertical="top"/>
    </xf>
    <xf numFmtId="0" fontId="15" fillId="4" borderId="5" xfId="0" applyFont="1" applyFill="1" applyBorder="1" applyAlignment="1">
      <alignment horizontal="center" vertical="top" wrapText="1"/>
    </xf>
    <xf numFmtId="0" fontId="15" fillId="4" borderId="1" xfId="0" applyFont="1" applyFill="1" applyBorder="1" applyAlignment="1">
      <alignment horizontal="center" vertical="top" wrapText="1"/>
    </xf>
    <xf numFmtId="0" fontId="14" fillId="0" borderId="0" xfId="0" applyFont="1" applyAlignment="1">
      <alignment vertical="top"/>
    </xf>
    <xf numFmtId="0" fontId="14" fillId="0" borderId="4" xfId="0" applyFont="1" applyBorder="1" applyAlignment="1">
      <alignment vertical="top"/>
    </xf>
    <xf numFmtId="0" fontId="14" fillId="0" borderId="2" xfId="0" applyFont="1" applyBorder="1" applyAlignment="1">
      <alignment vertical="top" wrapText="1"/>
    </xf>
    <xf numFmtId="0" fontId="14" fillId="0" borderId="2" xfId="0" applyFont="1" applyBorder="1" applyAlignment="1">
      <alignment vertical="top"/>
    </xf>
    <xf numFmtId="164" fontId="14" fillId="0" borderId="2" xfId="0" applyNumberFormat="1" applyFont="1" applyBorder="1" applyAlignment="1">
      <alignment vertical="top"/>
    </xf>
    <xf numFmtId="9" fontId="14" fillId="0" borderId="2" xfId="0" applyNumberFormat="1" applyFont="1" applyBorder="1" applyAlignment="1">
      <alignment vertical="top"/>
    </xf>
    <xf numFmtId="164" fontId="15" fillId="2" borderId="6" xfId="0" applyNumberFormat="1" applyFont="1" applyFill="1" applyBorder="1" applyAlignment="1">
      <alignment vertical="top"/>
    </xf>
    <xf numFmtId="0" fontId="14" fillId="0" borderId="3" xfId="0" applyFont="1" applyBorder="1" applyAlignment="1">
      <alignment vertical="top"/>
    </xf>
    <xf numFmtId="164" fontId="15" fillId="2" borderId="1" xfId="0" applyNumberFormat="1" applyFont="1" applyFill="1" applyBorder="1" applyAlignment="1">
      <alignment vertical="top"/>
    </xf>
    <xf numFmtId="0" fontId="14" fillId="0" borderId="7" xfId="0" applyFont="1" applyBorder="1" applyAlignment="1">
      <alignment vertical="top"/>
    </xf>
    <xf numFmtId="164" fontId="14" fillId="0" borderId="0" xfId="0" applyNumberFormat="1" applyFont="1" applyAlignment="1">
      <alignment vertical="top"/>
    </xf>
    <xf numFmtId="0" fontId="15" fillId="0" borderId="0" xfId="0" applyFont="1" applyAlignment="1">
      <alignment vertical="top"/>
    </xf>
    <xf numFmtId="0" fontId="15" fillId="4" borderId="1" xfId="0" applyFont="1" applyFill="1" applyBorder="1" applyAlignment="1">
      <alignment vertical="top"/>
    </xf>
    <xf numFmtId="0" fontId="15" fillId="4" borderId="1" xfId="0" applyFont="1" applyFill="1" applyBorder="1" applyAlignment="1">
      <alignment horizontal="right" vertical="top" wrapText="1"/>
    </xf>
    <xf numFmtId="0" fontId="15" fillId="4" borderId="1" xfId="0" applyFont="1" applyFill="1" applyBorder="1" applyAlignment="1">
      <alignment horizontal="right" vertical="top"/>
    </xf>
    <xf numFmtId="0" fontId="14" fillId="2" borderId="1" xfId="0" applyFont="1" applyFill="1" applyBorder="1" applyAlignment="1">
      <alignment vertical="top"/>
    </xf>
    <xf numFmtId="164" fontId="14" fillId="2" borderId="1" xfId="0" applyNumberFormat="1" applyFont="1" applyFill="1" applyBorder="1" applyAlignment="1">
      <alignment vertical="top"/>
    </xf>
    <xf numFmtId="165" fontId="14" fillId="2" borderId="1" xfId="0" applyNumberFormat="1" applyFont="1" applyFill="1" applyBorder="1" applyAlignment="1">
      <alignment vertical="top"/>
    </xf>
    <xf numFmtId="0" fontId="15" fillId="6" borderId="1" xfId="0" applyFont="1" applyFill="1" applyBorder="1" applyAlignment="1">
      <alignment vertical="top"/>
    </xf>
    <xf numFmtId="164" fontId="15" fillId="6" borderId="1" xfId="0" applyNumberFormat="1" applyFont="1" applyFill="1" applyBorder="1" applyAlignment="1">
      <alignment vertical="top"/>
    </xf>
    <xf numFmtId="165" fontId="15" fillId="6" borderId="1" xfId="0" applyNumberFormat="1" applyFont="1" applyFill="1" applyBorder="1" applyAlignment="1">
      <alignment vertical="top"/>
    </xf>
    <xf numFmtId="0" fontId="0" fillId="8" borderId="0" xfId="0" applyFill="1" applyAlignment="1">
      <alignment horizontal="left" wrapText="1" indent="2"/>
    </xf>
    <xf numFmtId="0" fontId="15" fillId="4" borderId="1" xfId="0" applyFont="1" applyFill="1" applyBorder="1" applyAlignment="1">
      <alignment horizontal="center" vertical="top"/>
    </xf>
    <xf numFmtId="0" fontId="14" fillId="0" borderId="1" xfId="0" applyFont="1" applyBorder="1" applyAlignment="1">
      <alignment horizontal="center"/>
    </xf>
    <xf numFmtId="0" fontId="14" fillId="0" borderId="1" xfId="0" applyFont="1" applyBorder="1" applyAlignment="1">
      <alignment wrapText="1"/>
    </xf>
    <xf numFmtId="0" fontId="17" fillId="0" borderId="2" xfId="0" applyFont="1" applyBorder="1" applyAlignment="1" applyProtection="1">
      <alignment horizontal="left" indent="3"/>
      <protection locked="0"/>
    </xf>
    <xf numFmtId="0" fontId="17" fillId="0" borderId="2" xfId="0" applyFont="1" applyBorder="1" applyAlignment="1" applyProtection="1">
      <alignment horizontal="left" indent="4"/>
      <protection locked="0"/>
    </xf>
    <xf numFmtId="0" fontId="17" fillId="0" borderId="2" xfId="0" applyFont="1" applyBorder="1" applyAlignment="1" applyProtection="1">
      <alignment horizontal="left" indent="5"/>
      <protection locked="0"/>
    </xf>
    <xf numFmtId="0" fontId="17" fillId="0" borderId="2" xfId="0" applyFont="1" applyBorder="1" applyAlignment="1" applyProtection="1">
      <alignment horizontal="left" indent="6"/>
      <protection locked="0"/>
    </xf>
    <xf numFmtId="0" fontId="0" fillId="8" borderId="0" xfId="0" applyFill="1" applyAlignment="1">
      <alignment horizontal="left" wrapText="1"/>
    </xf>
    <xf numFmtId="0" fontId="1" fillId="2" borderId="1" xfId="0" applyFont="1" applyFill="1" applyBorder="1"/>
    <xf numFmtId="0" fontId="14" fillId="0" borderId="0" xfId="0" applyFont="1" applyBorder="1" applyAlignment="1">
      <alignment horizontal="left" vertical="top" wrapText="1"/>
    </xf>
    <xf numFmtId="0" fontId="19" fillId="0" borderId="0" xfId="0" applyFont="1"/>
    <xf numFmtId="0" fontId="22" fillId="0" borderId="0" xfId="0" applyFont="1"/>
    <xf numFmtId="0" fontId="1" fillId="2" borderId="1" xfId="0" applyFont="1" applyFill="1" applyBorder="1" applyAlignment="1">
      <alignment wrapText="1"/>
    </xf>
    <xf numFmtId="9" fontId="1" fillId="0" borderId="1" xfId="2" applyFont="1" applyFill="1" applyBorder="1" applyAlignment="1">
      <alignment horizontal="right" vertical="center" wrapText="1"/>
    </xf>
    <xf numFmtId="0" fontId="17" fillId="0" borderId="2" xfId="0" applyFont="1" applyBorder="1" applyAlignment="1" applyProtection="1">
      <protection locked="0"/>
    </xf>
    <xf numFmtId="10" fontId="16" fillId="11" borderId="1" xfId="0" applyNumberFormat="1" applyFont="1" applyFill="1" applyBorder="1" applyAlignment="1" applyProtection="1">
      <alignment vertical="center"/>
      <protection locked="0"/>
    </xf>
    <xf numFmtId="164" fontId="16" fillId="11" borderId="1" xfId="0" applyNumberFormat="1" applyFont="1" applyFill="1" applyBorder="1" applyAlignment="1" applyProtection="1">
      <alignment horizontal="left" vertical="center"/>
    </xf>
    <xf numFmtId="0" fontId="17" fillId="0" borderId="4" xfId="0" applyFont="1" applyBorder="1" applyAlignment="1" applyProtection="1">
      <alignment horizontal="center" vertical="center"/>
    </xf>
    <xf numFmtId="0" fontId="23" fillId="8" borderId="0" xfId="0" applyFont="1" applyFill="1" applyAlignment="1">
      <alignment horizontal="center" vertical="center"/>
    </xf>
    <xf numFmtId="0" fontId="17" fillId="0" borderId="2" xfId="0" applyFont="1" applyBorder="1" applyAlignment="1" applyProtection="1">
      <alignment horizontal="left" vertical="center" indent="1"/>
      <protection locked="0"/>
    </xf>
    <xf numFmtId="0" fontId="17" fillId="0" borderId="1" xfId="0" applyFont="1" applyBorder="1" applyAlignment="1" applyProtection="1">
      <alignment vertical="center"/>
    </xf>
    <xf numFmtId="0" fontId="17" fillId="0" borderId="18" xfId="0" applyFont="1" applyBorder="1" applyAlignment="1" applyProtection="1">
      <alignment vertical="center"/>
    </xf>
    <xf numFmtId="164" fontId="17" fillId="2" borderId="3" xfId="0" applyNumberFormat="1" applyFont="1" applyFill="1" applyBorder="1" applyAlignment="1" applyProtection="1">
      <alignment vertical="center"/>
    </xf>
    <xf numFmtId="0" fontId="16" fillId="0" borderId="14" xfId="0" applyFont="1" applyBorder="1" applyAlignment="1" applyProtection="1">
      <alignment vertical="center"/>
    </xf>
    <xf numFmtId="0" fontId="17" fillId="0" borderId="15" xfId="0" applyFont="1" applyBorder="1" applyAlignment="1" applyProtection="1">
      <alignment vertical="center"/>
    </xf>
    <xf numFmtId="0" fontId="17" fillId="0" borderId="16" xfId="0" applyFont="1" applyBorder="1" applyAlignment="1" applyProtection="1">
      <alignment vertical="center"/>
    </xf>
    <xf numFmtId="0" fontId="17" fillId="0" borderId="17" xfId="0" applyFont="1" applyBorder="1" applyAlignment="1" applyProtection="1">
      <alignment vertical="center"/>
    </xf>
    <xf numFmtId="0" fontId="16" fillId="8" borderId="25" xfId="0" applyFont="1" applyFill="1" applyBorder="1" applyAlignment="1" applyProtection="1">
      <alignment vertical="center"/>
    </xf>
    <xf numFmtId="0" fontId="16" fillId="8" borderId="26" xfId="0" applyFont="1" applyFill="1" applyBorder="1" applyAlignment="1" applyProtection="1">
      <alignment vertical="center"/>
    </xf>
    <xf numFmtId="164" fontId="17" fillId="8" borderId="22" xfId="0" applyNumberFormat="1" applyFont="1" applyFill="1" applyBorder="1" applyAlignment="1" applyProtection="1">
      <alignment vertical="center"/>
    </xf>
    <xf numFmtId="164" fontId="17" fillId="8" borderId="23" xfId="0" applyNumberFormat="1" applyFont="1" applyFill="1" applyBorder="1" applyAlignment="1" applyProtection="1">
      <alignment vertical="center"/>
    </xf>
    <xf numFmtId="164" fontId="17" fillId="8" borderId="1" xfId="0" applyNumberFormat="1" applyFont="1" applyFill="1" applyBorder="1" applyAlignment="1" applyProtection="1">
      <alignment vertical="center"/>
    </xf>
    <xf numFmtId="164" fontId="17" fillId="8" borderId="18" xfId="0" applyNumberFormat="1" applyFont="1" applyFill="1" applyBorder="1" applyAlignment="1" applyProtection="1">
      <alignment vertical="center"/>
    </xf>
    <xf numFmtId="164" fontId="17" fillId="8" borderId="19" xfId="0" applyNumberFormat="1" applyFont="1" applyFill="1" applyBorder="1" applyAlignment="1" applyProtection="1">
      <alignment vertical="center"/>
    </xf>
    <xf numFmtId="164" fontId="17" fillId="8" borderId="20" xfId="0" applyNumberFormat="1" applyFont="1" applyFill="1" applyBorder="1" applyAlignment="1" applyProtection="1">
      <alignment vertical="center"/>
    </xf>
    <xf numFmtId="0" fontId="16" fillId="0" borderId="1" xfId="0" applyFont="1" applyBorder="1" applyAlignment="1" applyProtection="1">
      <alignment vertical="center"/>
    </xf>
    <xf numFmtId="10" fontId="16" fillId="0" borderId="1" xfId="0" applyNumberFormat="1" applyFont="1" applyBorder="1" applyAlignment="1" applyProtection="1">
      <alignment vertical="center"/>
    </xf>
    <xf numFmtId="0" fontId="16" fillId="0" borderId="0" xfId="0" applyFont="1" applyFill="1" applyBorder="1" applyAlignment="1" applyProtection="1">
      <alignment horizontal="left" vertical="center" wrapText="1"/>
    </xf>
    <xf numFmtId="0" fontId="26" fillId="0" borderId="0" xfId="0" applyFont="1" applyAlignment="1" applyProtection="1">
      <alignment vertical="center"/>
    </xf>
    <xf numFmtId="10" fontId="17" fillId="0" borderId="1" xfId="0" applyNumberFormat="1" applyFont="1" applyBorder="1" applyAlignment="1" applyProtection="1">
      <alignment vertical="center"/>
    </xf>
    <xf numFmtId="0" fontId="16" fillId="4" borderId="1" xfId="0" applyFont="1" applyFill="1" applyBorder="1" applyAlignment="1" applyProtection="1">
      <alignment vertical="center"/>
    </xf>
    <xf numFmtId="0" fontId="17" fillId="0" borderId="1" xfId="0" applyFont="1" applyBorder="1" applyAlignment="1" applyProtection="1">
      <alignment vertical="center"/>
      <protection locked="0"/>
    </xf>
    <xf numFmtId="0" fontId="17" fillId="8" borderId="1" xfId="0" applyFont="1" applyFill="1" applyBorder="1" applyAlignment="1" applyProtection="1">
      <alignment vertical="center" wrapText="1"/>
    </xf>
    <xf numFmtId="1" fontId="16" fillId="8" borderId="1" xfId="0" applyNumberFormat="1" applyFont="1" applyFill="1" applyBorder="1" applyAlignment="1" applyProtection="1">
      <alignment vertical="center"/>
    </xf>
    <xf numFmtId="0" fontId="17" fillId="8" borderId="0" xfId="0" applyFont="1" applyFill="1" applyAlignment="1" applyProtection="1">
      <alignment vertical="center"/>
    </xf>
    <xf numFmtId="1" fontId="16" fillId="0" borderId="1" xfId="0" applyNumberFormat="1" applyFont="1" applyBorder="1" applyAlignment="1" applyProtection="1">
      <alignment vertical="center"/>
    </xf>
    <xf numFmtId="0" fontId="17" fillId="0" borderId="1" xfId="0" applyFont="1" applyBorder="1" applyAlignment="1">
      <alignment horizontal="right"/>
    </xf>
    <xf numFmtId="0" fontId="17" fillId="8" borderId="1" xfId="0" applyFont="1" applyFill="1" applyBorder="1" applyAlignment="1" applyProtection="1">
      <alignment horizontal="left" vertical="center" wrapText="1"/>
    </xf>
    <xf numFmtId="0" fontId="16" fillId="9" borderId="1" xfId="0" applyFont="1" applyFill="1" applyBorder="1" applyAlignment="1" applyProtection="1">
      <alignment horizontal="left" vertical="center" wrapText="1"/>
    </xf>
    <xf numFmtId="1" fontId="16" fillId="9" borderId="1" xfId="0" applyNumberFormat="1" applyFont="1" applyFill="1" applyBorder="1" applyAlignment="1" applyProtection="1">
      <alignment vertical="center"/>
    </xf>
    <xf numFmtId="165" fontId="0" fillId="8" borderId="0" xfId="2" applyNumberFormat="1" applyFont="1" applyFill="1"/>
    <xf numFmtId="0" fontId="17" fillId="0" borderId="0" xfId="0" applyFont="1" applyBorder="1" applyAlignment="1" applyProtection="1">
      <alignment vertical="center"/>
    </xf>
    <xf numFmtId="0" fontId="17" fillId="4" borderId="1" xfId="0" applyFont="1" applyFill="1" applyBorder="1" applyAlignment="1" applyProtection="1">
      <alignment horizontal="center" vertical="center" textRotation="90" wrapText="1"/>
    </xf>
    <xf numFmtId="0" fontId="0" fillId="8" borderId="0" xfId="0" applyFill="1" applyBorder="1" applyAlignment="1"/>
    <xf numFmtId="0" fontId="3" fillId="4" borderId="0" xfId="0" applyFont="1" applyFill="1" applyAlignment="1">
      <alignment horizontal="center" vertical="center"/>
    </xf>
    <xf numFmtId="0" fontId="0" fillId="0" borderId="0" xfId="0"/>
    <xf numFmtId="0" fontId="1" fillId="4" borderId="0" xfId="0" applyFont="1" applyFill="1" applyAlignment="1">
      <alignment horizontal="center" vertical="center"/>
    </xf>
    <xf numFmtId="0" fontId="0" fillId="4" borderId="0" xfId="0" applyFill="1" applyAlignment="1">
      <alignment horizontal="center" vertical="center"/>
    </xf>
    <xf numFmtId="0" fontId="16" fillId="4" borderId="8" xfId="0" applyFont="1" applyFill="1" applyBorder="1" applyAlignment="1" applyProtection="1">
      <alignment horizontal="left" vertical="center"/>
    </xf>
    <xf numFmtId="0" fontId="16" fillId="4" borderId="9" xfId="0" applyFont="1" applyFill="1" applyBorder="1" applyAlignment="1" applyProtection="1">
      <alignment horizontal="left" vertical="center"/>
    </xf>
    <xf numFmtId="0" fontId="16" fillId="4" borderId="1" xfId="0" applyFont="1" applyFill="1" applyBorder="1" applyAlignment="1" applyProtection="1">
      <alignment horizontal="left" vertical="center"/>
    </xf>
    <xf numFmtId="166" fontId="17" fillId="0" borderId="8" xfId="0" applyNumberFormat="1" applyFont="1" applyBorder="1" applyAlignment="1" applyProtection="1">
      <alignment horizontal="left" vertical="center"/>
      <protection locked="0"/>
    </xf>
    <xf numFmtId="166" fontId="17" fillId="0" borderId="10" xfId="0" applyNumberFormat="1" applyFont="1" applyBorder="1" applyAlignment="1" applyProtection="1">
      <alignment horizontal="left" vertical="center"/>
      <protection locked="0"/>
    </xf>
    <xf numFmtId="166" fontId="17" fillId="0" borderId="9" xfId="0" applyNumberFormat="1" applyFont="1" applyBorder="1" applyAlignment="1" applyProtection="1">
      <alignment horizontal="left" vertical="center"/>
      <protection locked="0"/>
    </xf>
    <xf numFmtId="0" fontId="17" fillId="0" borderId="8" xfId="0" applyFont="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9" xfId="0" applyFont="1" applyBorder="1" applyAlignment="1" applyProtection="1">
      <alignment horizontal="left" vertical="center"/>
      <protection locked="0"/>
    </xf>
    <xf numFmtId="164" fontId="16" fillId="11" borderId="8" xfId="0" applyNumberFormat="1" applyFont="1" applyFill="1" applyBorder="1" applyAlignment="1" applyProtection="1">
      <alignment horizontal="left" vertical="center"/>
    </xf>
    <xf numFmtId="164" fontId="16" fillId="11" borderId="9" xfId="0" applyNumberFormat="1" applyFont="1" applyFill="1" applyBorder="1" applyAlignment="1" applyProtection="1">
      <alignment horizontal="left" vertical="center"/>
    </xf>
    <xf numFmtId="0" fontId="27" fillId="0" borderId="0" xfId="0" applyFont="1" applyBorder="1" applyAlignment="1" applyProtection="1">
      <alignment horizontal="center" vertical="center"/>
    </xf>
    <xf numFmtId="0" fontId="17" fillId="2" borderId="1" xfId="0" applyFont="1" applyFill="1" applyBorder="1"/>
    <xf numFmtId="0" fontId="17" fillId="8" borderId="8" xfId="0" applyFont="1" applyFill="1" applyBorder="1" applyAlignment="1" applyProtection="1">
      <alignment vertical="center" wrapText="1"/>
    </xf>
    <xf numFmtId="0" fontId="17" fillId="8" borderId="10" xfId="0" applyFont="1" applyFill="1" applyBorder="1" applyAlignment="1" applyProtection="1">
      <alignment vertical="center" wrapText="1"/>
    </xf>
    <xf numFmtId="0" fontId="17" fillId="8" borderId="9" xfId="0" applyFont="1" applyFill="1" applyBorder="1" applyAlignment="1" applyProtection="1">
      <alignment vertical="center" wrapText="1"/>
    </xf>
    <xf numFmtId="0" fontId="16" fillId="7" borderId="8" xfId="0" applyFont="1" applyFill="1" applyBorder="1" applyAlignment="1" applyProtection="1">
      <alignment horizontal="left" vertical="center" wrapText="1"/>
    </xf>
    <xf numFmtId="0" fontId="16" fillId="7" borderId="10" xfId="0" applyFont="1" applyFill="1" applyBorder="1" applyAlignment="1" applyProtection="1">
      <alignment horizontal="left" vertical="center" wrapText="1"/>
    </xf>
    <xf numFmtId="0" fontId="16" fillId="7" borderId="9" xfId="0" applyFont="1" applyFill="1" applyBorder="1" applyAlignment="1" applyProtection="1">
      <alignment horizontal="left" vertical="center" wrapText="1"/>
    </xf>
    <xf numFmtId="0" fontId="16" fillId="4" borderId="1" xfId="0" applyFont="1" applyFill="1" applyBorder="1" applyAlignment="1" applyProtection="1">
      <alignment horizontal="center" vertical="center" wrapText="1"/>
    </xf>
    <xf numFmtId="0" fontId="17" fillId="4" borderId="5" xfId="0" applyFont="1" applyFill="1" applyBorder="1" applyAlignment="1" applyProtection="1">
      <alignment horizontal="center" vertical="center" textRotation="90" wrapText="1"/>
    </xf>
    <xf numFmtId="0" fontId="17" fillId="4" borderId="22" xfId="0" applyFont="1" applyFill="1" applyBorder="1" applyAlignment="1" applyProtection="1">
      <alignment horizontal="center" vertical="center" textRotation="90" wrapText="1"/>
    </xf>
    <xf numFmtId="0" fontId="16" fillId="4" borderId="8" xfId="0" applyFont="1" applyFill="1" applyBorder="1" applyAlignment="1" applyProtection="1">
      <alignment horizontal="center" vertical="center" wrapText="1"/>
    </xf>
    <xf numFmtId="0" fontId="16" fillId="4" borderId="10" xfId="0" applyFont="1" applyFill="1" applyBorder="1" applyAlignment="1" applyProtection="1">
      <alignment horizontal="center" vertical="center" wrapText="1"/>
    </xf>
    <xf numFmtId="0" fontId="16" fillId="4" borderId="9" xfId="0" applyFont="1" applyFill="1" applyBorder="1" applyAlignment="1" applyProtection="1">
      <alignment horizontal="center" vertical="center" wrapText="1"/>
    </xf>
    <xf numFmtId="0" fontId="16" fillId="2" borderId="8" xfId="0" applyFont="1" applyFill="1" applyBorder="1" applyAlignment="1" applyProtection="1">
      <alignment horizontal="center" vertical="center"/>
    </xf>
    <xf numFmtId="0" fontId="16" fillId="2" borderId="10" xfId="0" applyFont="1" applyFill="1" applyBorder="1" applyAlignment="1" applyProtection="1">
      <alignment horizontal="center" vertical="center"/>
    </xf>
    <xf numFmtId="0" fontId="16" fillId="2" borderId="9" xfId="0" applyFont="1" applyFill="1" applyBorder="1" applyAlignment="1" applyProtection="1">
      <alignment horizontal="center" vertical="center"/>
    </xf>
    <xf numFmtId="0" fontId="16" fillId="4" borderId="5" xfId="0" applyFont="1" applyFill="1" applyBorder="1" applyAlignment="1" applyProtection="1">
      <alignment horizontal="center" vertical="center" wrapText="1"/>
    </xf>
    <xf numFmtId="0" fontId="16" fillId="4" borderId="12" xfId="0" applyFont="1" applyFill="1" applyBorder="1" applyAlignment="1" applyProtection="1">
      <alignment horizontal="center" vertical="center" wrapText="1"/>
    </xf>
    <xf numFmtId="0" fontId="17" fillId="4" borderId="5" xfId="0" applyFont="1" applyFill="1" applyBorder="1" applyAlignment="1" applyProtection="1">
      <alignment horizontal="center" vertical="center" wrapText="1"/>
    </xf>
    <xf numFmtId="0" fontId="17" fillId="4" borderId="11" xfId="0" applyFont="1" applyFill="1" applyBorder="1" applyAlignment="1" applyProtection="1">
      <alignment horizontal="center" vertical="center" wrapText="1"/>
    </xf>
    <xf numFmtId="0" fontId="16" fillId="4" borderId="29" xfId="0" applyFont="1" applyFill="1" applyBorder="1" applyAlignment="1" applyProtection="1">
      <alignment horizontal="center" vertical="center" wrapText="1"/>
    </xf>
    <xf numFmtId="0" fontId="16" fillId="4" borderId="30" xfId="0" applyFont="1" applyFill="1" applyBorder="1" applyAlignment="1" applyProtection="1">
      <alignment horizontal="center" vertical="center" wrapText="1"/>
    </xf>
    <xf numFmtId="0" fontId="16" fillId="4" borderId="5" xfId="0" applyFont="1" applyFill="1" applyBorder="1" applyAlignment="1" applyProtection="1">
      <alignment horizontal="center" vertical="center"/>
    </xf>
    <xf numFmtId="0" fontId="16" fillId="4" borderId="11" xfId="0" applyFont="1" applyFill="1" applyBorder="1" applyAlignment="1" applyProtection="1">
      <alignment horizontal="center" vertical="center"/>
    </xf>
    <xf numFmtId="0" fontId="16" fillId="4" borderId="22" xfId="0" applyFont="1" applyFill="1" applyBorder="1" applyAlignment="1" applyProtection="1">
      <alignment horizontal="center" vertical="center"/>
    </xf>
    <xf numFmtId="0" fontId="16" fillId="2" borderId="8" xfId="0" applyFont="1" applyFill="1" applyBorder="1" applyAlignment="1" applyProtection="1">
      <alignment horizontal="right" vertical="center"/>
    </xf>
    <xf numFmtId="0" fontId="16" fillId="2" borderId="10" xfId="0" applyFont="1" applyFill="1" applyBorder="1" applyAlignment="1" applyProtection="1">
      <alignment horizontal="right" vertical="center"/>
    </xf>
    <xf numFmtId="0" fontId="16" fillId="2" borderId="9" xfId="0" applyFont="1" applyFill="1" applyBorder="1" applyAlignment="1" applyProtection="1">
      <alignment horizontal="right" vertical="center"/>
    </xf>
    <xf numFmtId="0" fontId="17" fillId="8" borderId="27" xfId="0" applyFont="1" applyFill="1" applyBorder="1"/>
    <xf numFmtId="0" fontId="17" fillId="8" borderId="28" xfId="0" applyFont="1" applyFill="1" applyBorder="1"/>
    <xf numFmtId="0" fontId="17" fillId="8" borderId="17" xfId="0" applyFont="1" applyFill="1" applyBorder="1"/>
    <xf numFmtId="0" fontId="17" fillId="8" borderId="1" xfId="0" applyFont="1" applyFill="1" applyBorder="1"/>
    <xf numFmtId="0" fontId="17" fillId="8" borderId="21" xfId="0" applyFont="1" applyFill="1" applyBorder="1"/>
    <xf numFmtId="0" fontId="17" fillId="8" borderId="22" xfId="0" applyFont="1" applyFill="1" applyBorder="1"/>
    <xf numFmtId="0" fontId="16" fillId="8" borderId="24" xfId="0" applyFont="1" applyFill="1" applyBorder="1"/>
    <xf numFmtId="0" fontId="16" fillId="8" borderId="25" xfId="0" applyFont="1" applyFill="1" applyBorder="1"/>
    <xf numFmtId="0" fontId="15" fillId="2" borderId="1" xfId="0" applyFont="1" applyFill="1" applyBorder="1" applyAlignment="1">
      <alignment horizontal="right" vertical="top"/>
    </xf>
    <xf numFmtId="0" fontId="15" fillId="0" borderId="13" xfId="0" applyFont="1" applyBorder="1" applyAlignment="1">
      <alignment vertical="top" wrapText="1"/>
    </xf>
    <xf numFmtId="0" fontId="18" fillId="0" borderId="13" xfId="1" applyFont="1" applyBorder="1" applyAlignment="1" applyProtection="1">
      <alignment vertical="top"/>
    </xf>
    <xf numFmtId="0" fontId="20" fillId="10" borderId="8" xfId="0" applyFont="1" applyFill="1" applyBorder="1" applyAlignment="1">
      <alignment horizontal="left" vertical="top"/>
    </xf>
    <xf numFmtId="0" fontId="20" fillId="10" borderId="9" xfId="0" applyFont="1" applyFill="1" applyBorder="1" applyAlignment="1">
      <alignment horizontal="left" vertical="top"/>
    </xf>
    <xf numFmtId="0" fontId="15" fillId="0" borderId="0" xfId="0" applyFont="1" applyAlignment="1">
      <alignment horizontal="left" vertical="top" wrapText="1"/>
    </xf>
    <xf numFmtId="0" fontId="15" fillId="0" borderId="0" xfId="0" applyFont="1" applyAlignment="1">
      <alignment horizontal="left" vertical="top"/>
    </xf>
    <xf numFmtId="0" fontId="14" fillId="0" borderId="0" xfId="0" applyFont="1" applyBorder="1" applyAlignment="1">
      <alignment horizontal="left" vertical="top" wrapText="1"/>
    </xf>
    <xf numFmtId="0" fontId="14" fillId="0" borderId="1" xfId="0" applyFont="1" applyBorder="1"/>
    <xf numFmtId="0" fontId="14" fillId="0" borderId="22" xfId="0" applyFont="1" applyBorder="1"/>
  </cellXfs>
  <cellStyles count="3">
    <cellStyle name="Hyperlink" xfId="1" builtinId="8"/>
    <cellStyle name="Normal" xfId="0" builtinId="0"/>
    <cellStyle name="Percent" xfId="2" builtinId="5"/>
  </cellStyles>
  <dxfs count="70">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ont>
        <b/>
        <i val="0"/>
        <color rgb="FFFF0000"/>
      </font>
      <fill>
        <patternFill patternType="none">
          <bgColor indexed="65"/>
        </patternFill>
      </fill>
    </dxf>
    <dxf>
      <fill>
        <patternFill>
          <bgColor indexed="10"/>
        </patternFill>
      </fill>
    </dxf>
  </dxfs>
  <tableStyles count="0" defaultTableStyle="TableStyleMedium9" defaultPivotStyle="PivotStyleLight16"/>
  <colors>
    <mruColors>
      <color rgb="FF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u="none"/>
            </a:pPr>
            <a:r>
              <a:rPr lang="en-US" sz="1200" u="none"/>
              <a:t>Effort Distribution</a:t>
            </a:r>
          </a:p>
        </c:rich>
      </c:tx>
      <c:layout>
        <c:manualLayout>
          <c:xMode val="edge"/>
          <c:yMode val="edge"/>
          <c:x val="4.0563832447738766E-4"/>
          <c:y val="7.5547075020530405E-3"/>
        </c:manualLayout>
      </c:layout>
      <c:overlay val="0"/>
    </c:title>
    <c:autoTitleDeleted val="0"/>
    <c:view3D>
      <c:rotX val="30"/>
      <c:rotY val="190"/>
      <c:rAngAx val="0"/>
      <c:perspective val="30"/>
    </c:view3D>
    <c:floor>
      <c:thickness val="0"/>
    </c:floor>
    <c:sideWall>
      <c:thickness val="0"/>
    </c:sideWall>
    <c:backWall>
      <c:thickness val="0"/>
    </c:backWall>
    <c:plotArea>
      <c:layout>
        <c:manualLayout>
          <c:layoutTarget val="inner"/>
          <c:xMode val="edge"/>
          <c:yMode val="edge"/>
          <c:x val="0.12844940288929282"/>
          <c:y val="0.15199555577025264"/>
          <c:w val="0.7976435411789744"/>
          <c:h val="0.73881261774793472"/>
        </c:manualLayout>
      </c:layout>
      <c:pie3DChart>
        <c:varyColors val="1"/>
        <c:ser>
          <c:idx val="0"/>
          <c:order val="0"/>
          <c:spPr>
            <a:effectLst>
              <a:innerShdw blurRad="114300">
                <a:prstClr val="black"/>
              </a:innerShdw>
            </a:effectLst>
            <a:scene3d>
              <a:camera prst="orthographicFront"/>
              <a:lightRig rig="threePt" dir="t"/>
            </a:scene3d>
            <a:sp3d/>
          </c:spPr>
          <c:explosion val="12"/>
          <c:dLbls>
            <c:numFmt formatCode="0.0%" sourceLinked="0"/>
            <c:txPr>
              <a:bodyPr/>
              <a:lstStyle/>
              <a:p>
                <a:pPr>
                  <a:defRPr sz="800"/>
                </a:pPr>
                <a:endParaRPr lang="en-US"/>
              </a:p>
            </c:txPr>
            <c:dLblPos val="outEnd"/>
            <c:showLegendKey val="0"/>
            <c:showVal val="1"/>
            <c:showCatName val="1"/>
            <c:showSerName val="0"/>
            <c:showPercent val="0"/>
            <c:showBubbleSize val="0"/>
            <c:showLeaderLines val="1"/>
          </c:dLbls>
          <c:cat>
            <c:strRef>
              <c:f>'Detailed Task Estimates'!$BA$2:$BB$2</c:f>
              <c:strCache>
                <c:ptCount val="2"/>
                <c:pt idx="0">
                  <c:v>Phase</c:v>
                </c:pt>
                <c:pt idx="1">
                  <c:v>Effort %</c:v>
                </c:pt>
              </c:strCache>
            </c:strRef>
          </c:cat>
          <c:val>
            <c:numRef>
              <c:f>'Detailed Task Estimates'!$BA$3:$BB$3</c:f>
              <c:numCache>
                <c:formatCode>General</c:formatCode>
                <c:ptCount val="2"/>
              </c:numCache>
            </c:numRef>
          </c:val>
        </c:ser>
        <c:dLbls>
          <c:showLegendKey val="0"/>
          <c:showVal val="0"/>
          <c:showCatName val="0"/>
          <c:showSerName val="0"/>
          <c:showPercent val="0"/>
          <c:showBubbleSize val="0"/>
          <c:showLeaderLines val="1"/>
        </c:dLbls>
      </c:pie3DChart>
    </c:plotArea>
    <c:plotVisOnly val="0"/>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cid:image001.jpg@01CAB9FD.59C1AD90" TargetMode="External"/><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5955</xdr:colOff>
      <xdr:row>0</xdr:row>
      <xdr:rowOff>88076</xdr:rowOff>
    </xdr:from>
    <xdr:to>
      <xdr:col>1</xdr:col>
      <xdr:colOff>303610</xdr:colOff>
      <xdr:row>2</xdr:row>
      <xdr:rowOff>58462</xdr:rowOff>
    </xdr:to>
    <xdr:pic>
      <xdr:nvPicPr>
        <xdr:cNvPr id="5" name="Picture 4"/>
        <xdr:cNvPicPr/>
      </xdr:nvPicPr>
      <xdr:blipFill>
        <a:blip xmlns:r="http://schemas.openxmlformats.org/officeDocument/2006/relationships" r:embed="rId1" cstate="print"/>
        <a:srcRect/>
        <a:stretch>
          <a:fillRect/>
        </a:stretch>
      </xdr:blipFill>
      <xdr:spPr bwMode="auto">
        <a:xfrm>
          <a:off x="5955" y="88076"/>
          <a:ext cx="904874" cy="33352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13607</xdr:colOff>
      <xdr:row>3</xdr:row>
      <xdr:rowOff>13608</xdr:rowOff>
    </xdr:from>
    <xdr:to>
      <xdr:col>24</xdr:col>
      <xdr:colOff>591911</xdr:colOff>
      <xdr:row>12</xdr:row>
      <xdr:rowOff>590551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19050</xdr:rowOff>
        </xdr:from>
        <xdr:to>
          <xdr:col>1</xdr:col>
          <xdr:colOff>466725</xdr:colOff>
          <xdr:row>2</xdr:row>
          <xdr:rowOff>142875</xdr:rowOff>
        </xdr:to>
        <xdr:sp macro="" textlink="">
          <xdr:nvSpPr>
            <xdr:cNvPr id="1059" name="InsertRow"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xdr:row>
          <xdr:rowOff>9525</xdr:rowOff>
        </xdr:from>
        <xdr:to>
          <xdr:col>1</xdr:col>
          <xdr:colOff>1457325</xdr:colOff>
          <xdr:row>2</xdr:row>
          <xdr:rowOff>133350</xdr:rowOff>
        </xdr:to>
        <xdr:sp macro="" textlink="">
          <xdr:nvSpPr>
            <xdr:cNvPr id="1060" name="DeleteRow"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1</xdr:row>
          <xdr:rowOff>9525</xdr:rowOff>
        </xdr:from>
        <xdr:to>
          <xdr:col>1</xdr:col>
          <xdr:colOff>3219450</xdr:colOff>
          <xdr:row>2</xdr:row>
          <xdr:rowOff>133350</xdr:rowOff>
        </xdr:to>
        <xdr:sp macro="" textlink="">
          <xdr:nvSpPr>
            <xdr:cNvPr id="1066" name="AnalyzeData"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14</xdr:row>
      <xdr:rowOff>9525</xdr:rowOff>
    </xdr:from>
    <xdr:to>
      <xdr:col>1</xdr:col>
      <xdr:colOff>4248150</xdr:colOff>
      <xdr:row>31</xdr:row>
      <xdr:rowOff>9525</xdr:rowOff>
    </xdr:to>
    <xdr:pic>
      <xdr:nvPicPr>
        <xdr:cNvPr id="35852" name="Picture_x005f_x0020_13" descr="cid:image001.jpg@01C8066E.C1021ED0"/>
        <xdr:cNvPicPr>
          <a:picLocks noChangeAspect="1" noChangeArrowheads="1"/>
        </xdr:cNvPicPr>
      </xdr:nvPicPr>
      <xdr:blipFill>
        <a:blip xmlns:r="http://schemas.openxmlformats.org/officeDocument/2006/relationships" r:embed="rId1" r:link="rId2" cstate="print"/>
        <a:srcRect/>
        <a:stretch>
          <a:fillRect/>
        </a:stretch>
      </xdr:blipFill>
      <xdr:spPr bwMode="auto">
        <a:xfrm>
          <a:off x="609600" y="4819650"/>
          <a:ext cx="4248150" cy="2752725"/>
        </a:xfrm>
        <a:prstGeom prst="rect">
          <a:avLst/>
        </a:prstGeom>
        <a:noFill/>
        <a:ln w="9525">
          <a:solidFill>
            <a:srgbClr val="000000"/>
          </a:solidFill>
          <a:miter lim="800000"/>
          <a:headEnd/>
          <a:tailEnd/>
        </a:ln>
      </xdr:spPr>
    </xdr:pic>
    <xdr:clientData/>
  </xdr:twoCellAnchor>
  <xdr:twoCellAnchor editAs="oneCell">
    <xdr:from>
      <xdr:col>0</xdr:col>
      <xdr:colOff>0</xdr:colOff>
      <xdr:row>0</xdr:row>
      <xdr:rowOff>0</xdr:rowOff>
    </xdr:from>
    <xdr:to>
      <xdr:col>1</xdr:col>
      <xdr:colOff>885825</xdr:colOff>
      <xdr:row>1</xdr:row>
      <xdr:rowOff>32269</xdr:rowOff>
    </xdr:to>
    <xdr:pic>
      <xdr:nvPicPr>
        <xdr:cNvPr id="4" name="Picture 3"/>
        <xdr:cNvPicPr/>
      </xdr:nvPicPr>
      <xdr:blipFill>
        <a:blip xmlns:r="http://schemas.openxmlformats.org/officeDocument/2006/relationships" r:embed="rId3" cstate="print"/>
        <a:srcRect/>
        <a:stretch>
          <a:fillRect/>
        </a:stretch>
      </xdr:blipFill>
      <xdr:spPr bwMode="auto">
        <a:xfrm>
          <a:off x="0" y="0"/>
          <a:ext cx="1095375" cy="4037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P%206.0-Keystone/Phase%201%20Cleanup/Repository%20for%20Process%20Components%20at%20Virtusa/guidances/templates/resources/ProjectEstimate%203P(WithMacro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imation Summary"/>
      <sheetName val="Detailed Task Estimates"/>
      <sheetName val="Detailed Risk Impact Estimates"/>
      <sheetName val="Assumptions"/>
      <sheetName val="Estimation Metrics"/>
      <sheetName val="Confidentiality Note"/>
      <sheetName val="Data"/>
    </sheetNames>
    <sheetDataSet>
      <sheetData sheetId="0" refreshError="1"/>
      <sheetData sheetId="1">
        <row r="5">
          <cell r="I5">
            <v>0</v>
          </cell>
        </row>
        <row r="6">
          <cell r="I6">
            <v>0</v>
          </cell>
        </row>
        <row r="7">
          <cell r="I7">
            <v>0</v>
          </cell>
        </row>
        <row r="8">
          <cell r="I8">
            <v>0</v>
          </cell>
        </row>
        <row r="9">
          <cell r="I9">
            <v>0</v>
          </cell>
        </row>
        <row r="10">
          <cell r="I10">
            <v>0</v>
          </cell>
        </row>
        <row r="11">
          <cell r="I11">
            <v>0</v>
          </cell>
        </row>
        <row r="12">
          <cell r="I12">
            <v>0</v>
          </cell>
        </row>
        <row r="13">
          <cell r="I13">
            <v>0</v>
          </cell>
        </row>
        <row r="14">
          <cell r="I14">
            <v>0</v>
          </cell>
        </row>
        <row r="15">
          <cell r="I15">
            <v>0</v>
          </cell>
        </row>
        <row r="16">
          <cell r="I16">
            <v>0</v>
          </cell>
        </row>
        <row r="17">
          <cell r="I17">
            <v>0</v>
          </cell>
        </row>
        <row r="18">
          <cell r="I18">
            <v>0</v>
          </cell>
        </row>
        <row r="19">
          <cell r="I19">
            <v>0</v>
          </cell>
        </row>
        <row r="20">
          <cell r="I20">
            <v>0</v>
          </cell>
        </row>
        <row r="21">
          <cell r="I21">
            <v>0</v>
          </cell>
        </row>
        <row r="22">
          <cell r="I22">
            <v>0</v>
          </cell>
        </row>
        <row r="23">
          <cell r="I23">
            <v>0</v>
          </cell>
        </row>
        <row r="24">
          <cell r="I24">
            <v>0</v>
          </cell>
        </row>
        <row r="25">
          <cell r="I25">
            <v>0</v>
          </cell>
        </row>
        <row r="26">
          <cell r="I26">
            <v>0</v>
          </cell>
        </row>
        <row r="27">
          <cell r="I27">
            <v>0</v>
          </cell>
        </row>
        <row r="28">
          <cell r="I28">
            <v>0</v>
          </cell>
        </row>
        <row r="29">
          <cell r="I29">
            <v>0</v>
          </cell>
        </row>
        <row r="30">
          <cell r="I30">
            <v>0</v>
          </cell>
        </row>
        <row r="31">
          <cell r="I31">
            <v>0</v>
          </cell>
        </row>
        <row r="32">
          <cell r="I32">
            <v>0</v>
          </cell>
        </row>
        <row r="33">
          <cell r="I33">
            <v>0</v>
          </cell>
        </row>
        <row r="34">
          <cell r="I34">
            <v>0</v>
          </cell>
        </row>
        <row r="35">
          <cell r="I35">
            <v>0</v>
          </cell>
        </row>
        <row r="36">
          <cell r="I36">
            <v>0</v>
          </cell>
        </row>
        <row r="37">
          <cell r="I37">
            <v>0</v>
          </cell>
        </row>
        <row r="38">
          <cell r="I38">
            <v>0</v>
          </cell>
        </row>
        <row r="39">
          <cell r="I39">
            <v>0</v>
          </cell>
        </row>
        <row r="40">
          <cell r="I40">
            <v>0</v>
          </cell>
        </row>
        <row r="41">
          <cell r="I41">
            <v>0</v>
          </cell>
        </row>
        <row r="42">
          <cell r="I42">
            <v>0</v>
          </cell>
        </row>
        <row r="43">
          <cell r="I43">
            <v>0</v>
          </cell>
        </row>
        <row r="44">
          <cell r="I44">
            <v>0</v>
          </cell>
        </row>
        <row r="45">
          <cell r="I45">
            <v>0</v>
          </cell>
        </row>
        <row r="46">
          <cell r="I46">
            <v>0</v>
          </cell>
        </row>
        <row r="47">
          <cell r="I47">
            <v>0</v>
          </cell>
        </row>
        <row r="48">
          <cell r="I48">
            <v>0</v>
          </cell>
        </row>
        <row r="49">
          <cell r="I49">
            <v>0</v>
          </cell>
        </row>
        <row r="50">
          <cell r="I50">
            <v>0</v>
          </cell>
        </row>
        <row r="51">
          <cell r="I51">
            <v>0</v>
          </cell>
        </row>
        <row r="52">
          <cell r="I52">
            <v>0</v>
          </cell>
        </row>
        <row r="53">
          <cell r="I53">
            <v>0</v>
          </cell>
        </row>
        <row r="54">
          <cell r="I54">
            <v>0</v>
          </cell>
        </row>
        <row r="55">
          <cell r="I55">
            <v>0</v>
          </cell>
        </row>
        <row r="56">
          <cell r="I56">
            <v>0</v>
          </cell>
        </row>
        <row r="57">
          <cell r="I57">
            <v>0</v>
          </cell>
        </row>
        <row r="58">
          <cell r="I58">
            <v>0</v>
          </cell>
        </row>
        <row r="59">
          <cell r="I59">
            <v>0</v>
          </cell>
        </row>
        <row r="60">
          <cell r="I60">
            <v>0</v>
          </cell>
        </row>
        <row r="61">
          <cell r="I61">
            <v>0</v>
          </cell>
        </row>
        <row r="62">
          <cell r="I62">
            <v>0</v>
          </cell>
        </row>
        <row r="63">
          <cell r="I63">
            <v>0</v>
          </cell>
        </row>
        <row r="64">
          <cell r="I64">
            <v>0</v>
          </cell>
        </row>
        <row r="65">
          <cell r="I65">
            <v>0</v>
          </cell>
        </row>
        <row r="66">
          <cell r="I66">
            <v>0</v>
          </cell>
        </row>
        <row r="67">
          <cell r="I67">
            <v>0</v>
          </cell>
        </row>
        <row r="68">
          <cell r="I68">
            <v>0</v>
          </cell>
        </row>
        <row r="69">
          <cell r="I69">
            <v>0</v>
          </cell>
        </row>
        <row r="70">
          <cell r="I70">
            <v>0</v>
          </cell>
        </row>
        <row r="71">
          <cell r="I71">
            <v>0</v>
          </cell>
        </row>
        <row r="72">
          <cell r="I72">
            <v>0</v>
          </cell>
        </row>
        <row r="73">
          <cell r="I73">
            <v>0</v>
          </cell>
        </row>
        <row r="74">
          <cell r="I74">
            <v>0</v>
          </cell>
        </row>
        <row r="75">
          <cell r="I75">
            <v>0</v>
          </cell>
        </row>
        <row r="76">
          <cell r="I76">
            <v>0</v>
          </cell>
        </row>
        <row r="77">
          <cell r="I77">
            <v>0</v>
          </cell>
        </row>
        <row r="78">
          <cell r="I78">
            <v>0</v>
          </cell>
        </row>
        <row r="79">
          <cell r="I79">
            <v>0</v>
          </cell>
        </row>
        <row r="80">
          <cell r="I80">
            <v>0</v>
          </cell>
        </row>
        <row r="81">
          <cell r="I81">
            <v>0</v>
          </cell>
        </row>
        <row r="82">
          <cell r="I82">
            <v>0</v>
          </cell>
        </row>
        <row r="83">
          <cell r="I83">
            <v>0</v>
          </cell>
        </row>
        <row r="84">
          <cell r="I84">
            <v>0</v>
          </cell>
        </row>
        <row r="85">
          <cell r="I85">
            <v>0</v>
          </cell>
        </row>
        <row r="86">
          <cell r="I86">
            <v>0</v>
          </cell>
        </row>
        <row r="87">
          <cell r="I87">
            <v>0</v>
          </cell>
        </row>
        <row r="88">
          <cell r="I88">
            <v>0</v>
          </cell>
        </row>
        <row r="89">
          <cell r="I89">
            <v>0</v>
          </cell>
        </row>
        <row r="90">
          <cell r="I90">
            <v>0</v>
          </cell>
        </row>
        <row r="91">
          <cell r="I91">
            <v>0</v>
          </cell>
        </row>
        <row r="92">
          <cell r="I92">
            <v>0</v>
          </cell>
        </row>
        <row r="93">
          <cell r="I93">
            <v>0</v>
          </cell>
        </row>
        <row r="94">
          <cell r="I94">
            <v>0</v>
          </cell>
        </row>
        <row r="95">
          <cell r="I95">
            <v>0</v>
          </cell>
        </row>
        <row r="96">
          <cell r="I96">
            <v>0</v>
          </cell>
        </row>
        <row r="97">
          <cell r="I97">
            <v>0</v>
          </cell>
        </row>
        <row r="98">
          <cell r="I98">
            <v>0</v>
          </cell>
        </row>
        <row r="99">
          <cell r="I99">
            <v>0</v>
          </cell>
        </row>
        <row r="100">
          <cell r="I100">
            <v>0</v>
          </cell>
        </row>
        <row r="101">
          <cell r="I101">
            <v>0</v>
          </cell>
        </row>
        <row r="102">
          <cell r="I102">
            <v>0</v>
          </cell>
        </row>
        <row r="103">
          <cell r="I103">
            <v>0</v>
          </cell>
        </row>
        <row r="104">
          <cell r="I104">
            <v>0</v>
          </cell>
        </row>
        <row r="105">
          <cell r="I105">
            <v>0</v>
          </cell>
        </row>
        <row r="106">
          <cell r="I106">
            <v>0</v>
          </cell>
        </row>
        <row r="107">
          <cell r="I107">
            <v>0</v>
          </cell>
        </row>
        <row r="108">
          <cell r="I108">
            <v>0</v>
          </cell>
        </row>
        <row r="109">
          <cell r="I109">
            <v>0</v>
          </cell>
        </row>
        <row r="110">
          <cell r="I110">
            <v>0</v>
          </cell>
        </row>
        <row r="111">
          <cell r="I111">
            <v>0</v>
          </cell>
        </row>
        <row r="112">
          <cell r="I112">
            <v>0</v>
          </cell>
        </row>
        <row r="113">
          <cell r="I113">
            <v>0</v>
          </cell>
        </row>
        <row r="114">
          <cell r="I114">
            <v>0</v>
          </cell>
        </row>
        <row r="115">
          <cell r="I115">
            <v>0</v>
          </cell>
        </row>
        <row r="116">
          <cell r="I116">
            <v>0</v>
          </cell>
        </row>
        <row r="117">
          <cell r="I117">
            <v>0</v>
          </cell>
        </row>
        <row r="118">
          <cell r="I118">
            <v>0</v>
          </cell>
        </row>
        <row r="119">
          <cell r="I119">
            <v>0</v>
          </cell>
        </row>
        <row r="120">
          <cell r="I120">
            <v>0</v>
          </cell>
        </row>
        <row r="121">
          <cell r="I121">
            <v>0</v>
          </cell>
        </row>
        <row r="122">
          <cell r="I122">
            <v>0</v>
          </cell>
        </row>
        <row r="123">
          <cell r="I123">
            <v>0</v>
          </cell>
        </row>
        <row r="124">
          <cell r="I124">
            <v>0</v>
          </cell>
        </row>
        <row r="125">
          <cell r="I125">
            <v>0</v>
          </cell>
        </row>
        <row r="126">
          <cell r="I126">
            <v>0</v>
          </cell>
        </row>
        <row r="127">
          <cell r="I127">
            <v>0</v>
          </cell>
        </row>
        <row r="128">
          <cell r="I128">
            <v>0</v>
          </cell>
        </row>
        <row r="129">
          <cell r="I129">
            <v>0</v>
          </cell>
        </row>
        <row r="130">
          <cell r="I130">
            <v>0</v>
          </cell>
        </row>
        <row r="131">
          <cell r="I131">
            <v>0</v>
          </cell>
        </row>
        <row r="132">
          <cell r="I132">
            <v>0</v>
          </cell>
        </row>
        <row r="133">
          <cell r="I133">
            <v>0</v>
          </cell>
        </row>
        <row r="134">
          <cell r="I134">
            <v>0</v>
          </cell>
        </row>
        <row r="135">
          <cell r="I135">
            <v>0</v>
          </cell>
        </row>
        <row r="136">
          <cell r="I136">
            <v>0</v>
          </cell>
        </row>
        <row r="137">
          <cell r="I137">
            <v>0</v>
          </cell>
        </row>
        <row r="138">
          <cell r="I138">
            <v>0</v>
          </cell>
        </row>
        <row r="139">
          <cell r="I139">
            <v>0</v>
          </cell>
        </row>
        <row r="140">
          <cell r="I140">
            <v>0</v>
          </cell>
        </row>
        <row r="141">
          <cell r="I141">
            <v>0</v>
          </cell>
        </row>
        <row r="142">
          <cell r="I142">
            <v>0</v>
          </cell>
        </row>
        <row r="143">
          <cell r="I143">
            <v>0</v>
          </cell>
        </row>
        <row r="144">
          <cell r="I144">
            <v>0</v>
          </cell>
        </row>
        <row r="145">
          <cell r="I145">
            <v>0</v>
          </cell>
        </row>
        <row r="146">
          <cell r="I146">
            <v>0</v>
          </cell>
        </row>
        <row r="147">
          <cell r="I147">
            <v>0</v>
          </cell>
        </row>
        <row r="148">
          <cell r="I148">
            <v>0</v>
          </cell>
        </row>
        <row r="149">
          <cell r="I149">
            <v>0</v>
          </cell>
        </row>
        <row r="150">
          <cell r="I150">
            <v>0</v>
          </cell>
        </row>
        <row r="151">
          <cell r="I151">
            <v>0</v>
          </cell>
        </row>
        <row r="152">
          <cell r="I152">
            <v>0</v>
          </cell>
        </row>
        <row r="153">
          <cell r="I153">
            <v>0</v>
          </cell>
        </row>
        <row r="154">
          <cell r="I154">
            <v>0</v>
          </cell>
        </row>
        <row r="155">
          <cell r="I155">
            <v>0</v>
          </cell>
        </row>
        <row r="156">
          <cell r="I156">
            <v>0</v>
          </cell>
        </row>
        <row r="157">
          <cell r="I157">
            <v>0</v>
          </cell>
        </row>
        <row r="158">
          <cell r="I158">
            <v>0</v>
          </cell>
        </row>
        <row r="159">
          <cell r="I159">
            <v>0</v>
          </cell>
        </row>
        <row r="160">
          <cell r="I160">
            <v>0</v>
          </cell>
        </row>
        <row r="161">
          <cell r="I161">
            <v>0</v>
          </cell>
        </row>
        <row r="162">
          <cell r="I162">
            <v>0</v>
          </cell>
        </row>
        <row r="163">
          <cell r="I163">
            <v>0</v>
          </cell>
        </row>
        <row r="164">
          <cell r="I164">
            <v>0</v>
          </cell>
        </row>
        <row r="165">
          <cell r="I165">
            <v>0</v>
          </cell>
        </row>
        <row r="166">
          <cell r="I166">
            <v>0</v>
          </cell>
        </row>
        <row r="167">
          <cell r="I167">
            <v>0</v>
          </cell>
        </row>
        <row r="168">
          <cell r="I168">
            <v>0</v>
          </cell>
        </row>
        <row r="169">
          <cell r="I169">
            <v>0</v>
          </cell>
        </row>
        <row r="170">
          <cell r="I170">
            <v>0</v>
          </cell>
        </row>
        <row r="171">
          <cell r="I171">
            <v>0</v>
          </cell>
        </row>
        <row r="172">
          <cell r="I172">
            <v>0</v>
          </cell>
        </row>
        <row r="173">
          <cell r="I173">
            <v>0</v>
          </cell>
        </row>
        <row r="174">
          <cell r="I174">
            <v>0</v>
          </cell>
        </row>
        <row r="175">
          <cell r="I175">
            <v>0</v>
          </cell>
        </row>
        <row r="176">
          <cell r="I176">
            <v>0</v>
          </cell>
        </row>
        <row r="177">
          <cell r="I177">
            <v>0</v>
          </cell>
        </row>
        <row r="178">
          <cell r="I178">
            <v>0</v>
          </cell>
        </row>
      </sheetData>
      <sheetData sheetId="2" refreshError="1"/>
      <sheetData sheetId="3" refreshError="1"/>
      <sheetData sheetId="4"/>
      <sheetData sheetId="5" refreshError="1"/>
      <sheetData sheetId="6">
        <row r="4">
          <cell r="A4" t="str">
            <v>Requirement</v>
          </cell>
          <cell r="B4" t="str">
            <v>Development</v>
          </cell>
        </row>
        <row r="5">
          <cell r="A5" t="str">
            <v>Design</v>
          </cell>
          <cell r="B5" t="str">
            <v>Integration</v>
          </cell>
        </row>
        <row r="6">
          <cell r="A6" t="str">
            <v>Project Management</v>
          </cell>
          <cell r="B6" t="str">
            <v>Porting</v>
          </cell>
        </row>
        <row r="7">
          <cell r="A7" t="str">
            <v>Implementation</v>
          </cell>
          <cell r="B7" t="str">
            <v>Enhancement</v>
          </cell>
        </row>
        <row r="8">
          <cell r="A8" t="str">
            <v>Testing</v>
          </cell>
          <cell r="B8" t="str">
            <v>SQA</v>
          </cell>
        </row>
        <row r="9">
          <cell r="A9" t="str">
            <v>Deployment</v>
          </cell>
          <cell r="B9" t="str">
            <v>Staff Augmentation</v>
          </cell>
        </row>
        <row r="10">
          <cell r="A10" t="str">
            <v>Environment</v>
          </cell>
        </row>
        <row r="13">
          <cell r="A13" t="str">
            <v>H</v>
          </cell>
        </row>
        <row r="14">
          <cell r="A14" t="str">
            <v>M</v>
          </cell>
        </row>
        <row r="15">
          <cell r="A15" t="str">
            <v>L</v>
          </cell>
        </row>
        <row r="18">
          <cell r="A18" t="str">
            <v>Technical</v>
          </cell>
        </row>
        <row r="19">
          <cell r="A19" t="str">
            <v>Travel and Logistic</v>
          </cell>
        </row>
        <row r="20">
          <cell r="A20" t="str">
            <v>Customer</v>
          </cell>
        </row>
        <row r="21">
          <cell r="A21" t="str">
            <v>Requirement and Scope</v>
          </cell>
        </row>
        <row r="22">
          <cell r="A22" t="str">
            <v>Schedule</v>
          </cell>
        </row>
        <row r="23">
          <cell r="A23" t="str">
            <v>Quality</v>
          </cell>
        </row>
        <row r="24">
          <cell r="A24" t="str">
            <v>Cost</v>
          </cell>
        </row>
        <row r="25">
          <cell r="A25" t="str">
            <v>Environment</v>
          </cell>
        </row>
        <row r="26">
          <cell r="A26" t="str">
            <v>Team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X648"/>
  <sheetViews>
    <sheetView zoomScaleNormal="100" workbookViewId="0">
      <selection sqref="A1:K1"/>
    </sheetView>
  </sheetViews>
  <sheetFormatPr defaultRowHeight="12.75" x14ac:dyDescent="0.2"/>
  <cols>
    <col min="1" max="647" width="9.140625" style="23"/>
    <col min="648" max="648" width="0" style="23" hidden="1" customWidth="1"/>
    <col min="649" max="16384" width="9.140625" style="23"/>
  </cols>
  <sheetData>
    <row r="1" spans="1:88" x14ac:dyDescent="0.2">
      <c r="A1" s="103"/>
      <c r="B1" s="103"/>
      <c r="C1" s="103"/>
      <c r="D1" s="103"/>
      <c r="E1" s="103"/>
      <c r="F1" s="103"/>
      <c r="G1" s="103"/>
      <c r="H1" s="103"/>
      <c r="I1" s="103"/>
      <c r="J1" s="103"/>
      <c r="K1" s="103"/>
      <c r="L1" s="24"/>
      <c r="CJ1" s="23">
        <f>COLUMN()</f>
        <v>88</v>
      </c>
    </row>
    <row r="2" spans="1:88" ht="15.75" x14ac:dyDescent="0.2">
      <c r="A2" s="104" t="s">
        <v>46</v>
      </c>
      <c r="B2" s="105"/>
      <c r="C2" s="105"/>
      <c r="D2" s="105"/>
      <c r="E2" s="105"/>
      <c r="F2" s="105"/>
      <c r="G2" s="105"/>
      <c r="H2" s="105"/>
      <c r="I2" s="105"/>
      <c r="J2" s="105"/>
      <c r="K2" s="105"/>
      <c r="L2" s="24"/>
    </row>
    <row r="3" spans="1:88" x14ac:dyDescent="0.2">
      <c r="L3" s="24"/>
    </row>
    <row r="4" spans="1:88" x14ac:dyDescent="0.2">
      <c r="A4" s="106" t="s">
        <v>45</v>
      </c>
      <c r="B4" s="107"/>
      <c r="C4" s="107"/>
      <c r="D4" s="107"/>
      <c r="E4" s="107"/>
      <c r="F4" s="107"/>
      <c r="G4" s="107"/>
      <c r="H4" s="107"/>
      <c r="I4" s="107"/>
      <c r="J4" s="107"/>
      <c r="K4" s="107"/>
      <c r="L4" s="24"/>
    </row>
    <row r="6" spans="1:88" x14ac:dyDescent="0.2">
      <c r="A6" s="4" t="s">
        <v>39</v>
      </c>
      <c r="B6" s="5"/>
      <c r="C6" s="5"/>
      <c r="D6" s="5"/>
      <c r="E6" s="5"/>
      <c r="F6" s="5"/>
      <c r="G6" s="5"/>
      <c r="H6" s="5"/>
      <c r="I6" s="5"/>
      <c r="J6" s="5"/>
      <c r="K6" s="5"/>
    </row>
    <row r="7" spans="1:88" x14ac:dyDescent="0.2">
      <c r="A7" s="6" t="s">
        <v>42</v>
      </c>
      <c r="B7" s="6"/>
      <c r="C7" s="6"/>
      <c r="D7" s="6"/>
      <c r="E7" s="6"/>
      <c r="F7" s="6"/>
      <c r="G7" s="6"/>
      <c r="H7" s="6"/>
      <c r="I7" s="6"/>
      <c r="J7" s="6"/>
      <c r="K7" s="6"/>
    </row>
    <row r="8" spans="1:88" x14ac:dyDescent="0.2">
      <c r="A8" s="6" t="s">
        <v>43</v>
      </c>
      <c r="B8" s="6"/>
      <c r="C8" s="6"/>
      <c r="D8" s="6"/>
      <c r="E8" s="6"/>
      <c r="F8" s="6"/>
      <c r="G8" s="6"/>
      <c r="H8" s="6"/>
      <c r="I8" s="6"/>
      <c r="J8" s="6"/>
      <c r="K8" s="6"/>
    </row>
    <row r="9" spans="1:88" x14ac:dyDescent="0.2">
      <c r="A9" s="6" t="s">
        <v>40</v>
      </c>
      <c r="B9" s="6"/>
      <c r="C9" s="6"/>
      <c r="D9" s="6"/>
      <c r="E9" s="6"/>
      <c r="F9" s="6"/>
      <c r="G9" s="6"/>
      <c r="H9" s="6"/>
      <c r="I9" s="6"/>
      <c r="J9" s="6"/>
      <c r="K9" s="6"/>
    </row>
    <row r="10" spans="1:88" x14ac:dyDescent="0.2">
      <c r="A10" s="6" t="s">
        <v>41</v>
      </c>
      <c r="B10" s="6"/>
      <c r="C10" s="6"/>
      <c r="D10" s="6"/>
      <c r="E10" s="6"/>
      <c r="F10" s="6"/>
      <c r="G10" s="6"/>
      <c r="H10" s="6"/>
      <c r="I10" s="6"/>
      <c r="J10" s="6"/>
      <c r="K10" s="6"/>
    </row>
    <row r="11" spans="1:88" x14ac:dyDescent="0.2">
      <c r="A11" s="6" t="s">
        <v>44</v>
      </c>
      <c r="B11" s="6"/>
      <c r="C11" s="6"/>
      <c r="D11" s="6"/>
      <c r="E11" s="6"/>
      <c r="F11" s="6"/>
      <c r="G11" s="6"/>
      <c r="H11" s="6"/>
      <c r="I11" s="6"/>
      <c r="J11" s="6"/>
      <c r="K11" s="6"/>
    </row>
    <row r="12" spans="1:88" x14ac:dyDescent="0.2">
      <c r="A12" s="7"/>
      <c r="B12" s="7"/>
      <c r="C12" s="7"/>
      <c r="D12" s="7"/>
      <c r="E12" s="7"/>
      <c r="F12" s="7"/>
      <c r="G12" s="7"/>
      <c r="H12" s="7"/>
      <c r="I12" s="7"/>
      <c r="J12" s="7"/>
      <c r="K12" s="7"/>
    </row>
    <row r="648" spans="648:648" hidden="1" x14ac:dyDescent="0.2">
      <c r="XX648" s="68" t="s">
        <v>100</v>
      </c>
    </row>
  </sheetData>
  <mergeCells count="3">
    <mergeCell ref="A1:K1"/>
    <mergeCell ref="A2:K2"/>
    <mergeCell ref="A4:K4"/>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Right="0"/>
  </sheetPr>
  <dimension ref="A1:BB102"/>
  <sheetViews>
    <sheetView showGridLines="0" tabSelected="1" zoomScaleNormal="100" workbookViewId="0">
      <pane ySplit="13" topLeftCell="A14" activePane="bottomLeft" state="frozen"/>
      <selection pane="bottomLeft" activeCell="B14" sqref="B14"/>
    </sheetView>
  </sheetViews>
  <sheetFormatPr defaultRowHeight="12.75" outlineLevelCol="1" x14ac:dyDescent="0.2"/>
  <cols>
    <col min="1" max="1" width="11.5703125" style="10" customWidth="1"/>
    <col min="2" max="2" width="48.42578125" style="10" bestFit="1" customWidth="1"/>
    <col min="3" max="3" width="20.42578125" style="10" bestFit="1" customWidth="1"/>
    <col min="4" max="6" width="7.85546875" style="10" customWidth="1"/>
    <col min="7" max="9" width="7.7109375" style="10" customWidth="1"/>
    <col min="10" max="10" width="7" style="21" customWidth="1"/>
    <col min="11" max="11" width="3" style="21" customWidth="1" collapsed="1"/>
    <col min="12" max="13" width="10.28515625" style="21" hidden="1" customWidth="1" outlineLevel="1"/>
    <col min="14" max="14" width="10.28515625" style="22" hidden="1" customWidth="1" outlineLevel="1"/>
    <col min="15" max="15" width="12" style="10" hidden="1" customWidth="1" outlineLevel="1"/>
    <col min="16" max="18" width="10.28515625" style="10" hidden="1" customWidth="1" outlineLevel="1"/>
    <col min="19" max="19" width="12" style="10" hidden="1" customWidth="1" outlineLevel="1"/>
    <col min="20" max="20" width="12.7109375" style="10" bestFit="1" customWidth="1"/>
    <col min="21" max="21" width="9" style="10" customWidth="1"/>
    <col min="22" max="22" width="2.28515625" style="10" customWidth="1"/>
    <col min="23" max="24" width="8.5703125" style="10" customWidth="1"/>
    <col min="25" max="25" width="9" style="10" customWidth="1"/>
    <col min="26" max="51" width="9.140625" style="10"/>
    <col min="52" max="52" width="2" style="10" customWidth="1"/>
    <col min="53" max="53" width="17.42578125" style="10" customWidth="1"/>
    <col min="54" max="54" width="7.140625" style="10" customWidth="1"/>
    <col min="55" max="55" width="2" style="10" customWidth="1"/>
    <col min="56" max="16384" width="9.140625" style="10"/>
  </cols>
  <sheetData>
    <row r="1" spans="1:54" ht="8.25" customHeight="1" x14ac:dyDescent="0.2"/>
    <row r="2" spans="1:54" ht="14.25" customHeight="1" x14ac:dyDescent="0.2">
      <c r="T2" s="66" t="s">
        <v>97</v>
      </c>
      <c r="U2" s="65"/>
      <c r="W2" s="117" t="s">
        <v>98</v>
      </c>
      <c r="X2" s="118"/>
      <c r="Y2" s="65"/>
      <c r="BA2" s="85" t="s">
        <v>114</v>
      </c>
      <c r="BB2" s="86" t="s">
        <v>113</v>
      </c>
    </row>
    <row r="3" spans="1:54" x14ac:dyDescent="0.2">
      <c r="A3" s="87"/>
      <c r="B3" s="87"/>
      <c r="C3" s="87"/>
      <c r="D3" s="87"/>
      <c r="E3" s="110" t="s">
        <v>13</v>
      </c>
      <c r="F3" s="110"/>
      <c r="G3" s="114" t="s">
        <v>137</v>
      </c>
      <c r="H3" s="115"/>
      <c r="I3" s="115"/>
      <c r="J3" s="116"/>
      <c r="K3" s="10"/>
      <c r="L3" s="10"/>
      <c r="M3" s="10"/>
      <c r="N3" s="88"/>
      <c r="T3" s="119" t="s">
        <v>130</v>
      </c>
      <c r="U3" s="119"/>
      <c r="V3" s="119"/>
      <c r="W3" s="119"/>
      <c r="X3" s="119"/>
      <c r="Y3" s="119"/>
      <c r="BA3" s="70"/>
      <c r="BB3" s="70"/>
    </row>
    <row r="4" spans="1:54" x14ac:dyDescent="0.2">
      <c r="A4" s="90" t="s">
        <v>12</v>
      </c>
      <c r="B4" s="91" t="s">
        <v>131</v>
      </c>
      <c r="C4" s="87"/>
      <c r="D4" s="87"/>
      <c r="E4" s="110" t="s">
        <v>26</v>
      </c>
      <c r="F4" s="110"/>
      <c r="G4" s="114"/>
      <c r="H4" s="115"/>
      <c r="I4" s="115"/>
      <c r="J4" s="116"/>
      <c r="K4" s="10"/>
      <c r="L4" s="10"/>
      <c r="M4" s="10"/>
      <c r="N4" s="10"/>
      <c r="T4" s="101"/>
      <c r="U4" s="101"/>
      <c r="V4" s="101"/>
      <c r="W4" s="101"/>
      <c r="X4" s="101"/>
      <c r="Y4" s="101"/>
      <c r="BA4" s="70"/>
      <c r="BB4" s="70"/>
    </row>
    <row r="5" spans="1:54" x14ac:dyDescent="0.2">
      <c r="A5" s="90" t="s">
        <v>99</v>
      </c>
      <c r="B5" s="91" t="s">
        <v>132</v>
      </c>
      <c r="C5" s="87"/>
      <c r="D5" s="87"/>
      <c r="E5" s="108" t="s">
        <v>27</v>
      </c>
      <c r="F5" s="109"/>
      <c r="G5" s="111"/>
      <c r="H5" s="112"/>
      <c r="I5" s="112"/>
      <c r="J5" s="113"/>
      <c r="K5" s="10"/>
      <c r="L5" s="10"/>
      <c r="M5" s="10"/>
      <c r="N5" s="10"/>
      <c r="T5" s="101"/>
      <c r="U5" s="101"/>
      <c r="V5" s="101"/>
      <c r="W5" s="101"/>
      <c r="X5" s="101"/>
      <c r="Y5" s="101"/>
      <c r="BA5" s="70"/>
      <c r="BB5" s="89"/>
    </row>
    <row r="6" spans="1:54" x14ac:dyDescent="0.2">
      <c r="J6" s="10"/>
      <c r="K6" s="10"/>
      <c r="L6" s="10"/>
      <c r="M6" s="10"/>
      <c r="N6" s="10"/>
      <c r="T6" s="101"/>
      <c r="U6" s="101"/>
      <c r="V6" s="101"/>
      <c r="W6" s="101"/>
      <c r="X6" s="101"/>
      <c r="Y6" s="101"/>
      <c r="BA6" s="70"/>
      <c r="BB6" s="89"/>
    </row>
    <row r="7" spans="1:54" x14ac:dyDescent="0.2">
      <c r="B7" s="92" t="s">
        <v>125</v>
      </c>
      <c r="C7" s="93">
        <f>G100+I100</f>
        <v>1268.1501428747201</v>
      </c>
      <c r="E7" s="94"/>
      <c r="F7" s="121" t="s">
        <v>126</v>
      </c>
      <c r="G7" s="122"/>
      <c r="H7" s="122"/>
      <c r="I7" s="123"/>
      <c r="J7" s="95">
        <f>G100</f>
        <v>1232.6099999999994</v>
      </c>
      <c r="K7" s="10"/>
      <c r="L7" s="10"/>
      <c r="M7" s="120" t="s">
        <v>24</v>
      </c>
      <c r="N7" s="120"/>
      <c r="O7" s="120"/>
      <c r="P7" s="96">
        <v>1.25</v>
      </c>
      <c r="T7" s="101"/>
      <c r="U7" s="101"/>
      <c r="V7" s="101"/>
      <c r="W7" s="101"/>
      <c r="X7" s="101"/>
      <c r="Y7" s="101"/>
      <c r="BA7" s="70"/>
      <c r="BB7" s="89"/>
    </row>
    <row r="8" spans="1:54" x14ac:dyDescent="0.2">
      <c r="A8" s="87"/>
      <c r="B8" s="97" t="s">
        <v>57</v>
      </c>
      <c r="C8" s="93">
        <f>'Detailed Risk Impact Estimates'!C47</f>
        <v>74.3</v>
      </c>
      <c r="E8" s="94"/>
      <c r="F8" s="121" t="s">
        <v>127</v>
      </c>
      <c r="G8" s="122"/>
      <c r="H8" s="122"/>
      <c r="I8" s="123"/>
      <c r="J8" s="95">
        <f>G100+(2*I100)+C8</f>
        <v>1377.9902857494405</v>
      </c>
      <c r="K8" s="10"/>
      <c r="L8" s="10"/>
      <c r="M8" s="120" t="s">
        <v>25</v>
      </c>
      <c r="N8" s="120"/>
      <c r="O8" s="120"/>
      <c r="P8" s="96">
        <v>0.75</v>
      </c>
      <c r="T8" s="101"/>
      <c r="U8" s="101"/>
      <c r="V8" s="101"/>
      <c r="W8" s="101"/>
      <c r="X8" s="101"/>
      <c r="Y8" s="101"/>
      <c r="BA8" s="70"/>
      <c r="BB8" s="89"/>
    </row>
    <row r="9" spans="1:54" x14ac:dyDescent="0.2">
      <c r="A9" s="87"/>
      <c r="B9" s="98" t="s">
        <v>58</v>
      </c>
      <c r="C9" s="99">
        <f>SUM(C7:C8)</f>
        <v>1342.4501428747201</v>
      </c>
      <c r="J9" s="10"/>
      <c r="K9" s="88"/>
      <c r="L9" s="10"/>
      <c r="M9" s="10"/>
      <c r="N9" s="10"/>
      <c r="T9" s="101"/>
      <c r="U9" s="101"/>
      <c r="V9" s="101"/>
      <c r="W9" s="101"/>
      <c r="X9" s="101"/>
      <c r="Y9" s="101"/>
      <c r="BA9" s="70"/>
      <c r="BB9" s="89"/>
    </row>
    <row r="10" spans="1:54" x14ac:dyDescent="0.2">
      <c r="A10" s="87"/>
      <c r="B10" s="87"/>
      <c r="C10" s="87"/>
      <c r="J10" s="10"/>
      <c r="K10" s="88"/>
      <c r="L10" s="124" t="s">
        <v>128</v>
      </c>
      <c r="M10" s="125"/>
      <c r="N10" s="125"/>
      <c r="O10" s="126"/>
      <c r="P10" s="124" t="s">
        <v>129</v>
      </c>
      <c r="Q10" s="125"/>
      <c r="R10" s="125"/>
      <c r="S10" s="125"/>
      <c r="T10" s="101"/>
      <c r="U10" s="101"/>
      <c r="V10" s="101"/>
      <c r="W10" s="101"/>
      <c r="X10" s="101"/>
      <c r="Y10" s="101"/>
    </row>
    <row r="11" spans="1:54" x14ac:dyDescent="0.2">
      <c r="A11" s="142" t="s">
        <v>6</v>
      </c>
      <c r="B11" s="142" t="s">
        <v>0</v>
      </c>
      <c r="C11" s="142" t="s">
        <v>7</v>
      </c>
      <c r="D11" s="130" t="s">
        <v>1</v>
      </c>
      <c r="E11" s="131"/>
      <c r="F11" s="131"/>
      <c r="G11" s="131"/>
      <c r="H11" s="131"/>
      <c r="I11" s="131"/>
      <c r="J11" s="132"/>
      <c r="K11" s="9"/>
      <c r="L11" s="130" t="s">
        <v>2</v>
      </c>
      <c r="M11" s="131"/>
      <c r="N11" s="131"/>
      <c r="O11" s="132"/>
      <c r="P11" s="127" t="s">
        <v>3</v>
      </c>
      <c r="Q11" s="127"/>
      <c r="R11" s="127"/>
      <c r="S11" s="130"/>
      <c r="T11" s="101"/>
      <c r="U11" s="101"/>
      <c r="V11" s="101"/>
      <c r="W11" s="101"/>
      <c r="X11" s="101"/>
      <c r="Y11" s="101"/>
    </row>
    <row r="12" spans="1:54" ht="12.75" customHeight="1" x14ac:dyDescent="0.2">
      <c r="A12" s="143"/>
      <c r="B12" s="143"/>
      <c r="C12" s="143"/>
      <c r="D12" s="128" t="s">
        <v>54</v>
      </c>
      <c r="E12" s="128" t="s">
        <v>55</v>
      </c>
      <c r="F12" s="128" t="s">
        <v>56</v>
      </c>
      <c r="G12" s="127" t="s">
        <v>53</v>
      </c>
      <c r="H12" s="127"/>
      <c r="I12" s="127"/>
      <c r="J12" s="127"/>
      <c r="K12" s="9"/>
      <c r="L12" s="138" t="s">
        <v>54</v>
      </c>
      <c r="M12" s="138" t="s">
        <v>55</v>
      </c>
      <c r="N12" s="138" t="s">
        <v>56</v>
      </c>
      <c r="O12" s="136" t="s">
        <v>59</v>
      </c>
      <c r="P12" s="138" t="s">
        <v>54</v>
      </c>
      <c r="Q12" s="138" t="s">
        <v>55</v>
      </c>
      <c r="R12" s="138" t="s">
        <v>56</v>
      </c>
      <c r="S12" s="140" t="s">
        <v>60</v>
      </c>
      <c r="T12" s="101"/>
      <c r="U12" s="101"/>
      <c r="V12" s="101"/>
      <c r="W12" s="101"/>
      <c r="X12" s="101"/>
      <c r="Y12" s="101"/>
    </row>
    <row r="13" spans="1:54" ht="48" customHeight="1" x14ac:dyDescent="0.2">
      <c r="A13" s="144"/>
      <c r="B13" s="144"/>
      <c r="C13" s="144"/>
      <c r="D13" s="129"/>
      <c r="E13" s="129"/>
      <c r="F13" s="129"/>
      <c r="G13" s="102" t="s">
        <v>34</v>
      </c>
      <c r="H13" s="102" t="s">
        <v>30</v>
      </c>
      <c r="I13" s="102" t="s">
        <v>28</v>
      </c>
      <c r="J13" s="102" t="s">
        <v>5</v>
      </c>
      <c r="K13" s="9"/>
      <c r="L13" s="139"/>
      <c r="M13" s="139"/>
      <c r="N13" s="139"/>
      <c r="O13" s="137"/>
      <c r="P13" s="139"/>
      <c r="Q13" s="139"/>
      <c r="R13" s="139"/>
      <c r="S13" s="141"/>
      <c r="T13" s="101"/>
      <c r="U13" s="101"/>
      <c r="V13" s="101"/>
      <c r="W13" s="101"/>
      <c r="X13" s="101"/>
      <c r="Y13" s="101"/>
    </row>
    <row r="14" spans="1:54" x14ac:dyDescent="0.2">
      <c r="A14" s="67">
        <f>IF(B14&lt;&gt;"",ROW() - 13,"")</f>
        <v>1</v>
      </c>
      <c r="B14" s="53" t="s">
        <v>38</v>
      </c>
      <c r="C14" s="64"/>
      <c r="D14" s="11"/>
      <c r="E14" s="11"/>
      <c r="F14" s="11"/>
      <c r="G14" s="14">
        <f t="shared" ref="G14:G99" si="0">(D14+F14+(E14*4))/6</f>
        <v>0</v>
      </c>
      <c r="H14" s="14">
        <f t="shared" ref="H14:H99" si="1">(D14+E14+F14)/3</f>
        <v>0</v>
      </c>
      <c r="I14" s="14">
        <f t="shared" ref="I14:I99" si="2">SQRT(J14)</f>
        <v>0</v>
      </c>
      <c r="J14" s="72">
        <f t="shared" ref="J14:J99" si="3">(POWER(F14-D14,2)+(E14-D14)*(E14-F14))/18</f>
        <v>0</v>
      </c>
      <c r="K14" s="12"/>
      <c r="L14" s="13">
        <f t="shared" ref="L14:L99" si="4">D14*Green_Team_Productivity_Multiplier</f>
        <v>0</v>
      </c>
      <c r="M14" s="14">
        <f t="shared" ref="M14:M99" si="5">E14*Green_Team_Productivity_Multiplier</f>
        <v>0</v>
      </c>
      <c r="N14" s="14">
        <f t="shared" ref="N14:N99" si="6">F14*Green_Team_Productivity_Multiplier</f>
        <v>0</v>
      </c>
      <c r="O14" s="15">
        <f t="shared" ref="O14:O99" si="7">(N14+L14+(4*M14))/6</f>
        <v>0</v>
      </c>
      <c r="P14" s="14">
        <f t="shared" ref="P14:P99" si="8">D14*Expert_Team_Productivity_Multiplier</f>
        <v>0</v>
      </c>
      <c r="Q14" s="14">
        <f t="shared" ref="Q14:Q99" si="9">E14*Expert_Team_Productivity_Multiplier</f>
        <v>0</v>
      </c>
      <c r="R14" s="14">
        <f t="shared" ref="R14:R99" si="10">F14*Expert_Team_Productivity_Multiplier</f>
        <v>0</v>
      </c>
      <c r="S14" s="16">
        <f t="shared" ref="S14:S99" si="11">(R14+P14+(4*Q14))/6</f>
        <v>0</v>
      </c>
      <c r="T14" s="17"/>
    </row>
    <row r="15" spans="1:54" x14ac:dyDescent="0.2">
      <c r="A15" s="67">
        <f>IF(B15&lt;&gt;"",ROW() - 13,"")</f>
        <v>2</v>
      </c>
      <c r="B15" s="54" t="s">
        <v>51</v>
      </c>
      <c r="C15" s="64"/>
      <c r="D15" s="11"/>
      <c r="E15" s="11"/>
      <c r="F15" s="11"/>
      <c r="G15" s="14">
        <f t="shared" si="0"/>
        <v>0</v>
      </c>
      <c r="H15" s="14">
        <f t="shared" si="1"/>
        <v>0</v>
      </c>
      <c r="I15" s="14">
        <f t="shared" si="2"/>
        <v>0</v>
      </c>
      <c r="J15" s="72">
        <f t="shared" si="3"/>
        <v>0</v>
      </c>
      <c r="K15" s="12"/>
      <c r="L15" s="13">
        <f t="shared" si="4"/>
        <v>0</v>
      </c>
      <c r="M15" s="14">
        <f t="shared" si="5"/>
        <v>0</v>
      </c>
      <c r="N15" s="14">
        <f t="shared" si="6"/>
        <v>0</v>
      </c>
      <c r="O15" s="15">
        <f t="shared" si="7"/>
        <v>0</v>
      </c>
      <c r="P15" s="14">
        <f t="shared" si="8"/>
        <v>0</v>
      </c>
      <c r="Q15" s="14">
        <f t="shared" si="9"/>
        <v>0</v>
      </c>
      <c r="R15" s="14">
        <f t="shared" si="10"/>
        <v>0</v>
      </c>
      <c r="S15" s="16">
        <f t="shared" si="11"/>
        <v>0</v>
      </c>
      <c r="T15" s="17"/>
    </row>
    <row r="16" spans="1:54" x14ac:dyDescent="0.2">
      <c r="A16" s="67">
        <f>IF(B16&lt;&gt;"",ROW() - 13,"")</f>
        <v>3</v>
      </c>
      <c r="B16" s="55" t="s">
        <v>138</v>
      </c>
      <c r="C16" s="64" t="s">
        <v>109</v>
      </c>
      <c r="D16" s="11">
        <v>3.5</v>
      </c>
      <c r="E16" s="11">
        <v>5</v>
      </c>
      <c r="F16" s="11">
        <v>8</v>
      </c>
      <c r="G16" s="14">
        <f t="shared" si="0"/>
        <v>5.25</v>
      </c>
      <c r="H16" s="14">
        <f t="shared" si="1"/>
        <v>5.5</v>
      </c>
      <c r="I16" s="14">
        <f t="shared" si="2"/>
        <v>0.93541434669348533</v>
      </c>
      <c r="J16" s="72">
        <f t="shared" si="3"/>
        <v>0.875</v>
      </c>
      <c r="K16" s="12"/>
      <c r="L16" s="13">
        <f t="shared" si="4"/>
        <v>4.375</v>
      </c>
      <c r="M16" s="14">
        <f t="shared" si="5"/>
        <v>6.25</v>
      </c>
      <c r="N16" s="14">
        <f t="shared" si="6"/>
        <v>10</v>
      </c>
      <c r="O16" s="15">
        <f t="shared" si="7"/>
        <v>6.5625</v>
      </c>
      <c r="P16" s="14">
        <f t="shared" si="8"/>
        <v>2.625</v>
      </c>
      <c r="Q16" s="14">
        <f t="shared" si="9"/>
        <v>3.75</v>
      </c>
      <c r="R16" s="14">
        <f t="shared" si="10"/>
        <v>6</v>
      </c>
      <c r="S16" s="16">
        <f t="shared" si="11"/>
        <v>3.9375</v>
      </c>
      <c r="T16" s="17"/>
    </row>
    <row r="17" spans="1:20" x14ac:dyDescent="0.2">
      <c r="A17" s="67">
        <f>ROW() - 13</f>
        <v>4</v>
      </c>
      <c r="B17" s="55"/>
      <c r="C17" s="64"/>
      <c r="D17" s="11"/>
      <c r="E17" s="11"/>
      <c r="F17" s="11"/>
      <c r="G17" s="14">
        <f t="shared" si="0"/>
        <v>0</v>
      </c>
      <c r="H17" s="14">
        <f t="shared" si="1"/>
        <v>0</v>
      </c>
      <c r="I17" s="14">
        <f t="shared" si="2"/>
        <v>0</v>
      </c>
      <c r="J17" s="72">
        <f t="shared" si="3"/>
        <v>0</v>
      </c>
      <c r="K17" s="12"/>
      <c r="L17" s="13">
        <f t="shared" si="4"/>
        <v>0</v>
      </c>
      <c r="M17" s="14">
        <f t="shared" si="5"/>
        <v>0</v>
      </c>
      <c r="N17" s="14">
        <f t="shared" si="6"/>
        <v>0</v>
      </c>
      <c r="O17" s="15">
        <f t="shared" si="7"/>
        <v>0</v>
      </c>
      <c r="P17" s="14">
        <f t="shared" si="8"/>
        <v>0</v>
      </c>
      <c r="Q17" s="14">
        <f t="shared" si="9"/>
        <v>0</v>
      </c>
      <c r="R17" s="14">
        <f t="shared" si="10"/>
        <v>0</v>
      </c>
      <c r="S17" s="16">
        <f t="shared" si="11"/>
        <v>0</v>
      </c>
      <c r="T17" s="17"/>
    </row>
    <row r="18" spans="1:20" x14ac:dyDescent="0.2">
      <c r="A18" s="67">
        <f>ROW() - 13</f>
        <v>5</v>
      </c>
      <c r="B18" s="55" t="s">
        <v>139</v>
      </c>
      <c r="C18" s="64"/>
      <c r="D18" s="11"/>
      <c r="E18" s="11"/>
      <c r="F18" s="11"/>
      <c r="G18" s="14">
        <f t="shared" ref="G18:G21" si="12">(D18+F18+(E18*4))/6</f>
        <v>0</v>
      </c>
      <c r="H18" s="14">
        <f t="shared" ref="H18:H21" si="13">(D18+E18+F18)/3</f>
        <v>0</v>
      </c>
      <c r="I18" s="14">
        <f t="shared" ref="I18:I21" si="14">SQRT(J18)</f>
        <v>0</v>
      </c>
      <c r="J18" s="72">
        <f t="shared" ref="J18:J21" si="15">(POWER(F18-D18,2)+(E18-D18)*(E18-F18))/18</f>
        <v>0</v>
      </c>
      <c r="K18" s="12"/>
      <c r="L18" s="13">
        <f t="shared" ref="L18:L21" si="16">D18*Green_Team_Productivity_Multiplier</f>
        <v>0</v>
      </c>
      <c r="M18" s="14">
        <f t="shared" ref="M18:M21" si="17">E18*Green_Team_Productivity_Multiplier</f>
        <v>0</v>
      </c>
      <c r="N18" s="14">
        <f t="shared" ref="N18:N21" si="18">F18*Green_Team_Productivity_Multiplier</f>
        <v>0</v>
      </c>
      <c r="O18" s="15">
        <f t="shared" ref="O18:O21" si="19">(N18+L18+(4*M18))/6</f>
        <v>0</v>
      </c>
      <c r="P18" s="14">
        <f t="shared" ref="P18:P21" si="20">D18*Expert_Team_Productivity_Multiplier</f>
        <v>0</v>
      </c>
      <c r="Q18" s="14">
        <f t="shared" ref="Q18:Q21" si="21">E18*Expert_Team_Productivity_Multiplier</f>
        <v>0</v>
      </c>
      <c r="R18" s="14">
        <f t="shared" ref="R18:R21" si="22">F18*Expert_Team_Productivity_Multiplier</f>
        <v>0</v>
      </c>
      <c r="S18" s="16">
        <f t="shared" ref="S18:S21" si="23">(R18+P18+(4*Q18))/6</f>
        <v>0</v>
      </c>
      <c r="T18" s="17"/>
    </row>
    <row r="19" spans="1:20" x14ac:dyDescent="0.2">
      <c r="A19" s="67">
        <f>ROW() - 13</f>
        <v>6</v>
      </c>
      <c r="B19" s="55" t="s">
        <v>140</v>
      </c>
      <c r="C19" s="64" t="s">
        <v>109</v>
      </c>
      <c r="D19" s="11">
        <v>18</v>
      </c>
      <c r="E19" s="11">
        <v>21.5</v>
      </c>
      <c r="F19" s="11">
        <v>32.5</v>
      </c>
      <c r="G19" s="14">
        <f t="shared" si="12"/>
        <v>22.75</v>
      </c>
      <c r="H19" s="14">
        <f t="shared" si="13"/>
        <v>24</v>
      </c>
      <c r="I19" s="14">
        <f t="shared" si="14"/>
        <v>3.0889588321417731</v>
      </c>
      <c r="J19" s="72">
        <f t="shared" si="15"/>
        <v>9.5416666666666661</v>
      </c>
      <c r="K19" s="12"/>
      <c r="L19" s="13">
        <f t="shared" si="16"/>
        <v>22.5</v>
      </c>
      <c r="M19" s="14">
        <f t="shared" si="17"/>
        <v>26.875</v>
      </c>
      <c r="N19" s="14">
        <f t="shared" si="18"/>
        <v>40.625</v>
      </c>
      <c r="O19" s="15">
        <f t="shared" si="19"/>
        <v>28.4375</v>
      </c>
      <c r="P19" s="14">
        <f t="shared" si="20"/>
        <v>13.5</v>
      </c>
      <c r="Q19" s="14">
        <f t="shared" si="21"/>
        <v>16.125</v>
      </c>
      <c r="R19" s="14">
        <f t="shared" si="22"/>
        <v>24.375</v>
      </c>
      <c r="S19" s="16">
        <f t="shared" si="23"/>
        <v>17.0625</v>
      </c>
      <c r="T19" s="17"/>
    </row>
    <row r="20" spans="1:20" x14ac:dyDescent="0.2">
      <c r="A20" s="67">
        <f>ROW() - 13</f>
        <v>7</v>
      </c>
      <c r="B20" s="55" t="s">
        <v>141</v>
      </c>
      <c r="C20" s="64" t="s">
        <v>109</v>
      </c>
      <c r="D20" s="11">
        <v>1.5</v>
      </c>
      <c r="E20" s="11">
        <v>2.1</v>
      </c>
      <c r="F20" s="11">
        <v>3.5</v>
      </c>
      <c r="G20" s="14">
        <f t="shared" si="12"/>
        <v>2.2333333333333334</v>
      </c>
      <c r="H20" s="14">
        <f t="shared" si="13"/>
        <v>2.3666666666666667</v>
      </c>
      <c r="I20" s="14">
        <f t="shared" si="14"/>
        <v>0.41899350299921784</v>
      </c>
      <c r="J20" s="72">
        <f t="shared" si="15"/>
        <v>0.17555555555555558</v>
      </c>
      <c r="K20" s="12"/>
      <c r="L20" s="13">
        <f t="shared" si="16"/>
        <v>1.875</v>
      </c>
      <c r="M20" s="14">
        <f t="shared" si="17"/>
        <v>2.625</v>
      </c>
      <c r="N20" s="14">
        <f t="shared" si="18"/>
        <v>4.375</v>
      </c>
      <c r="O20" s="15">
        <f t="shared" si="19"/>
        <v>2.7916666666666665</v>
      </c>
      <c r="P20" s="14">
        <f t="shared" si="20"/>
        <v>1.125</v>
      </c>
      <c r="Q20" s="14">
        <f t="shared" si="21"/>
        <v>1.5750000000000002</v>
      </c>
      <c r="R20" s="14">
        <f t="shared" si="22"/>
        <v>2.625</v>
      </c>
      <c r="S20" s="16">
        <f t="shared" si="23"/>
        <v>1.675</v>
      </c>
      <c r="T20" s="17"/>
    </row>
    <row r="21" spans="1:20" x14ac:dyDescent="0.2">
      <c r="A21" s="67">
        <f>ROW() - 13</f>
        <v>8</v>
      </c>
      <c r="B21" s="55"/>
      <c r="C21" s="64"/>
      <c r="D21" s="11"/>
      <c r="E21" s="11"/>
      <c r="F21" s="11"/>
      <c r="G21" s="14">
        <f t="shared" si="12"/>
        <v>0</v>
      </c>
      <c r="H21" s="14">
        <f t="shared" si="13"/>
        <v>0</v>
      </c>
      <c r="I21" s="14">
        <f t="shared" si="14"/>
        <v>0</v>
      </c>
      <c r="J21" s="72">
        <f t="shared" si="15"/>
        <v>0</v>
      </c>
      <c r="K21" s="12"/>
      <c r="L21" s="13">
        <f t="shared" si="16"/>
        <v>0</v>
      </c>
      <c r="M21" s="14">
        <f t="shared" si="17"/>
        <v>0</v>
      </c>
      <c r="N21" s="14">
        <f t="shared" si="18"/>
        <v>0</v>
      </c>
      <c r="O21" s="15">
        <f t="shared" si="19"/>
        <v>0</v>
      </c>
      <c r="P21" s="14">
        <f t="shared" si="20"/>
        <v>0</v>
      </c>
      <c r="Q21" s="14">
        <f t="shared" si="21"/>
        <v>0</v>
      </c>
      <c r="R21" s="14">
        <f t="shared" si="22"/>
        <v>0</v>
      </c>
      <c r="S21" s="16">
        <f t="shared" si="23"/>
        <v>0</v>
      </c>
      <c r="T21" s="17"/>
    </row>
    <row r="22" spans="1:20" x14ac:dyDescent="0.2">
      <c r="A22" s="67">
        <f>IF(B22&lt;&gt;"",ROW() - 13,"")</f>
        <v>9</v>
      </c>
      <c r="B22" s="55" t="s">
        <v>142</v>
      </c>
      <c r="C22" s="64"/>
      <c r="D22" s="11"/>
      <c r="E22" s="11"/>
      <c r="F22" s="11"/>
      <c r="G22" s="14">
        <f t="shared" si="0"/>
        <v>0</v>
      </c>
      <c r="H22" s="14">
        <f t="shared" si="1"/>
        <v>0</v>
      </c>
      <c r="I22" s="14">
        <f t="shared" si="2"/>
        <v>0</v>
      </c>
      <c r="J22" s="72">
        <f t="shared" si="3"/>
        <v>0</v>
      </c>
      <c r="K22" s="12"/>
      <c r="L22" s="13">
        <f t="shared" si="4"/>
        <v>0</v>
      </c>
      <c r="M22" s="14">
        <f t="shared" si="5"/>
        <v>0</v>
      </c>
      <c r="N22" s="14">
        <f t="shared" si="6"/>
        <v>0</v>
      </c>
      <c r="O22" s="15">
        <f t="shared" si="7"/>
        <v>0</v>
      </c>
      <c r="P22" s="14">
        <f t="shared" si="8"/>
        <v>0</v>
      </c>
      <c r="Q22" s="14">
        <f t="shared" si="9"/>
        <v>0</v>
      </c>
      <c r="R22" s="14">
        <f t="shared" si="10"/>
        <v>0</v>
      </c>
      <c r="S22" s="16">
        <f t="shared" si="11"/>
        <v>0</v>
      </c>
      <c r="T22" s="17"/>
    </row>
    <row r="23" spans="1:20" x14ac:dyDescent="0.2">
      <c r="A23" s="67">
        <f>ROW() - 13</f>
        <v>10</v>
      </c>
      <c r="B23" s="55" t="s">
        <v>143</v>
      </c>
      <c r="C23" s="64" t="s">
        <v>109</v>
      </c>
      <c r="D23" s="11">
        <v>6</v>
      </c>
      <c r="E23" s="11">
        <v>7</v>
      </c>
      <c r="F23" s="11">
        <v>10.5</v>
      </c>
      <c r="G23" s="14">
        <f t="shared" si="0"/>
        <v>7.416666666666667</v>
      </c>
      <c r="H23" s="14">
        <f t="shared" si="1"/>
        <v>7.833333333333333</v>
      </c>
      <c r="I23" s="14">
        <f t="shared" si="2"/>
        <v>0.96465307523251875</v>
      </c>
      <c r="J23" s="72">
        <f t="shared" si="3"/>
        <v>0.93055555555555558</v>
      </c>
      <c r="K23" s="12"/>
      <c r="L23" s="13">
        <f t="shared" si="4"/>
        <v>7.5</v>
      </c>
      <c r="M23" s="14">
        <f t="shared" si="5"/>
        <v>8.75</v>
      </c>
      <c r="N23" s="14">
        <f t="shared" si="6"/>
        <v>13.125</v>
      </c>
      <c r="O23" s="15">
        <f t="shared" si="7"/>
        <v>9.2708333333333339</v>
      </c>
      <c r="P23" s="14">
        <f t="shared" si="8"/>
        <v>4.5</v>
      </c>
      <c r="Q23" s="14">
        <f t="shared" si="9"/>
        <v>5.25</v>
      </c>
      <c r="R23" s="14">
        <f t="shared" si="10"/>
        <v>7.875</v>
      </c>
      <c r="S23" s="16">
        <f t="shared" si="11"/>
        <v>5.5625</v>
      </c>
      <c r="T23" s="17"/>
    </row>
    <row r="24" spans="1:20" x14ac:dyDescent="0.2">
      <c r="A24" s="67">
        <f>ROW() - 13</f>
        <v>11</v>
      </c>
      <c r="B24" s="55" t="s">
        <v>144</v>
      </c>
      <c r="C24" s="64" t="s">
        <v>109</v>
      </c>
      <c r="D24" s="11">
        <v>15</v>
      </c>
      <c r="E24" s="11">
        <v>16.670000000000002</v>
      </c>
      <c r="F24" s="11">
        <v>25.5</v>
      </c>
      <c r="G24" s="14">
        <f t="shared" ref="G24" si="24">(D24+F24+(E24*4))/6</f>
        <v>17.863333333333333</v>
      </c>
      <c r="H24" s="14">
        <f t="shared" ref="H24" si="25">(D24+E24+F24)/3</f>
        <v>19.056666666666668</v>
      </c>
      <c r="I24" s="14">
        <f t="shared" ref="I24" si="26">SQRT(J24)</f>
        <v>2.3034261920500558</v>
      </c>
      <c r="J24" s="72">
        <f t="shared" ref="J24" si="27">(POWER(F24-D24,2)+(E24-D24)*(E24-F24))/18</f>
        <v>5.3057722222222212</v>
      </c>
      <c r="K24" s="12"/>
      <c r="L24" s="13">
        <f t="shared" ref="L24" si="28">D24*Green_Team_Productivity_Multiplier</f>
        <v>18.75</v>
      </c>
      <c r="M24" s="14">
        <f t="shared" ref="M24" si="29">E24*Green_Team_Productivity_Multiplier</f>
        <v>20.837500000000002</v>
      </c>
      <c r="N24" s="14">
        <f t="shared" ref="N24" si="30">F24*Green_Team_Productivity_Multiplier</f>
        <v>31.875</v>
      </c>
      <c r="O24" s="15">
        <f t="shared" ref="O24" si="31">(N24+L24+(4*M24))/6</f>
        <v>22.329166666666669</v>
      </c>
      <c r="P24" s="14">
        <f t="shared" ref="P24" si="32">D24*Expert_Team_Productivity_Multiplier</f>
        <v>11.25</v>
      </c>
      <c r="Q24" s="14">
        <f t="shared" ref="Q24" si="33">E24*Expert_Team_Productivity_Multiplier</f>
        <v>12.502500000000001</v>
      </c>
      <c r="R24" s="14">
        <f t="shared" ref="R24" si="34">F24*Expert_Team_Productivity_Multiplier</f>
        <v>19.125</v>
      </c>
      <c r="S24" s="16">
        <f t="shared" ref="S24" si="35">(R24+P24+(4*Q24))/6</f>
        <v>13.397500000000001</v>
      </c>
      <c r="T24" s="17"/>
    </row>
    <row r="25" spans="1:20" x14ac:dyDescent="0.2">
      <c r="A25" s="67">
        <f>ROW() - 13</f>
        <v>12</v>
      </c>
      <c r="B25" s="55" t="s">
        <v>145</v>
      </c>
      <c r="C25" s="64" t="s">
        <v>109</v>
      </c>
      <c r="D25" s="11">
        <v>15</v>
      </c>
      <c r="E25" s="11">
        <v>16.670000000000002</v>
      </c>
      <c r="F25" s="11">
        <v>25.5</v>
      </c>
      <c r="G25" s="14">
        <f t="shared" si="0"/>
        <v>17.863333333333333</v>
      </c>
      <c r="H25" s="14">
        <f t="shared" si="1"/>
        <v>19.056666666666668</v>
      </c>
      <c r="I25" s="14">
        <f t="shared" si="2"/>
        <v>2.3034261920500558</v>
      </c>
      <c r="J25" s="72">
        <f t="shared" si="3"/>
        <v>5.3057722222222212</v>
      </c>
      <c r="K25" s="12"/>
      <c r="L25" s="13">
        <f t="shared" si="4"/>
        <v>18.75</v>
      </c>
      <c r="M25" s="14">
        <f t="shared" si="5"/>
        <v>20.837500000000002</v>
      </c>
      <c r="N25" s="14">
        <f t="shared" si="6"/>
        <v>31.875</v>
      </c>
      <c r="O25" s="15">
        <f t="shared" si="7"/>
        <v>22.329166666666669</v>
      </c>
      <c r="P25" s="14">
        <f t="shared" si="8"/>
        <v>11.25</v>
      </c>
      <c r="Q25" s="14">
        <f t="shared" si="9"/>
        <v>12.502500000000001</v>
      </c>
      <c r="R25" s="14">
        <f t="shared" si="10"/>
        <v>19.125</v>
      </c>
      <c r="S25" s="16">
        <f t="shared" si="11"/>
        <v>13.397500000000001</v>
      </c>
      <c r="T25" s="17"/>
    </row>
    <row r="26" spans="1:20" x14ac:dyDescent="0.2">
      <c r="A26" s="67">
        <f>ROW() - 13</f>
        <v>13</v>
      </c>
      <c r="B26" s="55" t="s">
        <v>146</v>
      </c>
      <c r="C26" s="64" t="s">
        <v>109</v>
      </c>
      <c r="D26" s="11">
        <v>15</v>
      </c>
      <c r="E26" s="11">
        <v>16.670000000000002</v>
      </c>
      <c r="F26" s="11">
        <v>25.5</v>
      </c>
      <c r="G26" s="14">
        <f t="shared" ref="G26:G29" si="36">(D26+F26+(E26*4))/6</f>
        <v>17.863333333333333</v>
      </c>
      <c r="H26" s="14">
        <f t="shared" ref="H26:H29" si="37">(D26+E26+F26)/3</f>
        <v>19.056666666666668</v>
      </c>
      <c r="I26" s="14">
        <f t="shared" ref="I26:I29" si="38">SQRT(J26)</f>
        <v>2.3034261920500558</v>
      </c>
      <c r="J26" s="72">
        <f t="shared" ref="J26:J29" si="39">(POWER(F26-D26,2)+(E26-D26)*(E26-F26))/18</f>
        <v>5.3057722222222212</v>
      </c>
      <c r="K26" s="12"/>
      <c r="L26" s="13">
        <f t="shared" ref="L26:L29" si="40">D26*Green_Team_Productivity_Multiplier</f>
        <v>18.75</v>
      </c>
      <c r="M26" s="14">
        <f t="shared" ref="M26:M29" si="41">E26*Green_Team_Productivity_Multiplier</f>
        <v>20.837500000000002</v>
      </c>
      <c r="N26" s="14">
        <f t="shared" ref="N26:N29" si="42">F26*Green_Team_Productivity_Multiplier</f>
        <v>31.875</v>
      </c>
      <c r="O26" s="15">
        <f t="shared" ref="O26:O29" si="43">(N26+L26+(4*M26))/6</f>
        <v>22.329166666666669</v>
      </c>
      <c r="P26" s="14">
        <f t="shared" ref="P26:P29" si="44">D26*Expert_Team_Productivity_Multiplier</f>
        <v>11.25</v>
      </c>
      <c r="Q26" s="14">
        <f t="shared" ref="Q26:Q29" si="45">E26*Expert_Team_Productivity_Multiplier</f>
        <v>12.502500000000001</v>
      </c>
      <c r="R26" s="14">
        <f t="shared" ref="R26:R29" si="46">F26*Expert_Team_Productivity_Multiplier</f>
        <v>19.125</v>
      </c>
      <c r="S26" s="16">
        <f t="shared" ref="S26:S29" si="47">(R26+P26+(4*Q26))/6</f>
        <v>13.397500000000001</v>
      </c>
      <c r="T26" s="17"/>
    </row>
    <row r="27" spans="1:20" x14ac:dyDescent="0.2">
      <c r="A27" s="67">
        <f>ROW() - 13</f>
        <v>14</v>
      </c>
      <c r="B27" s="55" t="s">
        <v>147</v>
      </c>
      <c r="C27" s="64" t="s">
        <v>109</v>
      </c>
      <c r="D27" s="11">
        <v>47.5</v>
      </c>
      <c r="E27" s="11">
        <v>53.33</v>
      </c>
      <c r="F27" s="11">
        <v>80</v>
      </c>
      <c r="G27" s="14">
        <f t="shared" si="36"/>
        <v>56.803333333333335</v>
      </c>
      <c r="H27" s="14">
        <f t="shared" si="37"/>
        <v>60.276666666666664</v>
      </c>
      <c r="I27" s="14">
        <f t="shared" si="38"/>
        <v>7.0740680579768869</v>
      </c>
      <c r="J27" s="72">
        <f t="shared" si="39"/>
        <v>50.042438888888888</v>
      </c>
      <c r="K27" s="12"/>
      <c r="L27" s="13">
        <f t="shared" si="40"/>
        <v>59.375</v>
      </c>
      <c r="M27" s="14">
        <f t="shared" si="41"/>
        <v>66.662499999999994</v>
      </c>
      <c r="N27" s="14">
        <f t="shared" si="42"/>
        <v>100</v>
      </c>
      <c r="O27" s="15">
        <f t="shared" si="43"/>
        <v>71.004166666666663</v>
      </c>
      <c r="P27" s="14">
        <f t="shared" si="44"/>
        <v>35.625</v>
      </c>
      <c r="Q27" s="14">
        <f t="shared" si="45"/>
        <v>39.997500000000002</v>
      </c>
      <c r="R27" s="14">
        <f t="shared" si="46"/>
        <v>60</v>
      </c>
      <c r="S27" s="16">
        <f t="shared" si="47"/>
        <v>42.602499999999999</v>
      </c>
      <c r="T27" s="17"/>
    </row>
    <row r="28" spans="1:20" x14ac:dyDescent="0.2">
      <c r="A28" s="67">
        <f>ROW() - 13</f>
        <v>15</v>
      </c>
      <c r="B28" s="55" t="s">
        <v>148</v>
      </c>
      <c r="C28" s="64" t="s">
        <v>109</v>
      </c>
      <c r="D28" s="11">
        <v>47.5</v>
      </c>
      <c r="E28" s="11">
        <v>53.33</v>
      </c>
      <c r="F28" s="11">
        <v>80</v>
      </c>
      <c r="G28" s="14">
        <f t="shared" ref="G28" si="48">(D28+F28+(E28*4))/6</f>
        <v>56.803333333333335</v>
      </c>
      <c r="H28" s="14">
        <f t="shared" ref="H28" si="49">(D28+E28+F28)/3</f>
        <v>60.276666666666664</v>
      </c>
      <c r="I28" s="14">
        <f t="shared" ref="I28" si="50">SQRT(J28)</f>
        <v>7.0740680579768869</v>
      </c>
      <c r="J28" s="72">
        <f t="shared" ref="J28" si="51">(POWER(F28-D28,2)+(E28-D28)*(E28-F28))/18</f>
        <v>50.042438888888888</v>
      </c>
      <c r="K28" s="12"/>
      <c r="L28" s="13">
        <f t="shared" ref="L28" si="52">D28*Green_Team_Productivity_Multiplier</f>
        <v>59.375</v>
      </c>
      <c r="M28" s="14">
        <f t="shared" ref="M28" si="53">E28*Green_Team_Productivity_Multiplier</f>
        <v>66.662499999999994</v>
      </c>
      <c r="N28" s="14">
        <f t="shared" ref="N28" si="54">F28*Green_Team_Productivity_Multiplier</f>
        <v>100</v>
      </c>
      <c r="O28" s="15">
        <f t="shared" ref="O28" si="55">(N28+L28+(4*M28))/6</f>
        <v>71.004166666666663</v>
      </c>
      <c r="P28" s="14">
        <f t="shared" ref="P28" si="56">D28*Expert_Team_Productivity_Multiplier</f>
        <v>35.625</v>
      </c>
      <c r="Q28" s="14">
        <f t="shared" ref="Q28" si="57">E28*Expert_Team_Productivity_Multiplier</f>
        <v>39.997500000000002</v>
      </c>
      <c r="R28" s="14">
        <f t="shared" ref="R28" si="58">F28*Expert_Team_Productivity_Multiplier</f>
        <v>60</v>
      </c>
      <c r="S28" s="16">
        <f t="shared" ref="S28" si="59">(R28+P28+(4*Q28))/6</f>
        <v>42.602499999999999</v>
      </c>
      <c r="T28" s="17"/>
    </row>
    <row r="29" spans="1:20" x14ac:dyDescent="0.2">
      <c r="A29" s="67">
        <f>ROW() - 13</f>
        <v>16</v>
      </c>
      <c r="B29" s="55" t="s">
        <v>149</v>
      </c>
      <c r="C29" s="64" t="s">
        <v>109</v>
      </c>
      <c r="D29" s="11">
        <v>47.5</v>
      </c>
      <c r="E29" s="11">
        <v>53.33</v>
      </c>
      <c r="F29" s="11">
        <v>80</v>
      </c>
      <c r="G29" s="14">
        <f t="shared" si="36"/>
        <v>56.803333333333335</v>
      </c>
      <c r="H29" s="14">
        <f t="shared" si="37"/>
        <v>60.276666666666664</v>
      </c>
      <c r="I29" s="14">
        <f t="shared" si="38"/>
        <v>7.0740680579768869</v>
      </c>
      <c r="J29" s="72">
        <f t="shared" si="39"/>
        <v>50.042438888888888</v>
      </c>
      <c r="K29" s="12"/>
      <c r="L29" s="13">
        <f t="shared" si="40"/>
        <v>59.375</v>
      </c>
      <c r="M29" s="14">
        <f t="shared" si="41"/>
        <v>66.662499999999994</v>
      </c>
      <c r="N29" s="14">
        <f t="shared" si="42"/>
        <v>100</v>
      </c>
      <c r="O29" s="15">
        <f t="shared" si="43"/>
        <v>71.004166666666663</v>
      </c>
      <c r="P29" s="14">
        <f t="shared" si="44"/>
        <v>35.625</v>
      </c>
      <c r="Q29" s="14">
        <f t="shared" si="45"/>
        <v>39.997500000000002</v>
      </c>
      <c r="R29" s="14">
        <f t="shared" si="46"/>
        <v>60</v>
      </c>
      <c r="S29" s="16">
        <f t="shared" si="47"/>
        <v>42.602499999999999</v>
      </c>
      <c r="T29" s="17"/>
    </row>
    <row r="30" spans="1:20" x14ac:dyDescent="0.2">
      <c r="A30" s="67">
        <f>IF(B30&lt;&gt;"",ROW() - 13,"")</f>
        <v>17</v>
      </c>
      <c r="B30" s="56" t="s">
        <v>136</v>
      </c>
      <c r="C30" s="64" t="s">
        <v>109</v>
      </c>
      <c r="D30" s="11">
        <v>20</v>
      </c>
      <c r="E30" s="11">
        <v>22.63</v>
      </c>
      <c r="F30" s="11">
        <v>34</v>
      </c>
      <c r="G30" s="14">
        <f t="shared" si="0"/>
        <v>24.086666666666662</v>
      </c>
      <c r="H30" s="14">
        <f t="shared" si="1"/>
        <v>25.543333333333333</v>
      </c>
      <c r="I30" s="14">
        <f t="shared" si="2"/>
        <v>3.0376974101374143</v>
      </c>
      <c r="J30" s="72">
        <f t="shared" si="3"/>
        <v>9.2276055555555558</v>
      </c>
      <c r="K30" s="12"/>
      <c r="L30" s="13">
        <f t="shared" si="4"/>
        <v>25</v>
      </c>
      <c r="M30" s="14">
        <f t="shared" si="5"/>
        <v>28.287499999999998</v>
      </c>
      <c r="N30" s="14">
        <f t="shared" si="6"/>
        <v>42.5</v>
      </c>
      <c r="O30" s="15">
        <f t="shared" si="7"/>
        <v>30.108333333333331</v>
      </c>
      <c r="P30" s="14">
        <f t="shared" si="8"/>
        <v>15</v>
      </c>
      <c r="Q30" s="14">
        <f t="shared" si="9"/>
        <v>16.9725</v>
      </c>
      <c r="R30" s="14">
        <f t="shared" si="10"/>
        <v>25.5</v>
      </c>
      <c r="S30" s="16">
        <f t="shared" si="11"/>
        <v>18.065000000000001</v>
      </c>
      <c r="T30" s="17"/>
    </row>
    <row r="31" spans="1:20" x14ac:dyDescent="0.2">
      <c r="A31" s="67">
        <f>ROW() - 13</f>
        <v>18</v>
      </c>
      <c r="B31" s="56"/>
      <c r="C31" s="64"/>
      <c r="D31" s="11"/>
      <c r="E31" s="11"/>
      <c r="F31" s="11"/>
      <c r="G31" s="14">
        <f t="shared" ref="G31" si="60">(D31+F31+(E31*4))/6</f>
        <v>0</v>
      </c>
      <c r="H31" s="14">
        <f t="shared" ref="H31" si="61">(D31+E31+F31)/3</f>
        <v>0</v>
      </c>
      <c r="I31" s="14">
        <f t="shared" ref="I31" si="62">SQRT(J31)</f>
        <v>0</v>
      </c>
      <c r="J31" s="72">
        <f t="shared" ref="J31" si="63">(POWER(F31-D31,2)+(E31-D31)*(E31-F31))/18</f>
        <v>0</v>
      </c>
      <c r="K31" s="12"/>
      <c r="L31" s="13">
        <f t="shared" ref="L31" si="64">D31*Green_Team_Productivity_Multiplier</f>
        <v>0</v>
      </c>
      <c r="M31" s="14">
        <f t="shared" ref="M31" si="65">E31*Green_Team_Productivity_Multiplier</f>
        <v>0</v>
      </c>
      <c r="N31" s="14">
        <f t="shared" ref="N31" si="66">F31*Green_Team_Productivity_Multiplier</f>
        <v>0</v>
      </c>
      <c r="O31" s="15">
        <f t="shared" ref="O31" si="67">(N31+L31+(4*M31))/6</f>
        <v>0</v>
      </c>
      <c r="P31" s="14">
        <f t="shared" ref="P31" si="68">D31*Expert_Team_Productivity_Multiplier</f>
        <v>0</v>
      </c>
      <c r="Q31" s="14">
        <f t="shared" ref="Q31" si="69">E31*Expert_Team_Productivity_Multiplier</f>
        <v>0</v>
      </c>
      <c r="R31" s="14">
        <f t="shared" ref="R31" si="70">F31*Expert_Team_Productivity_Multiplier</f>
        <v>0</v>
      </c>
      <c r="S31" s="16">
        <f t="shared" ref="S31" si="71">(R31+P31+(4*Q31))/6</f>
        <v>0</v>
      </c>
      <c r="T31" s="17"/>
    </row>
    <row r="32" spans="1:20" x14ac:dyDescent="0.2">
      <c r="A32" s="67">
        <f>ROW() - 13</f>
        <v>19</v>
      </c>
      <c r="B32" s="69" t="s">
        <v>154</v>
      </c>
      <c r="C32" s="64" t="s">
        <v>109</v>
      </c>
      <c r="D32" s="11">
        <v>45</v>
      </c>
      <c r="E32" s="11">
        <v>50</v>
      </c>
      <c r="F32" s="11">
        <v>75</v>
      </c>
      <c r="G32" s="14">
        <f t="shared" ref="G32:G33" si="72">(D32+F32+(E32*4))/6</f>
        <v>53.333333333333336</v>
      </c>
      <c r="H32" s="14">
        <f t="shared" ref="H32:H33" si="73">(D32+E32+F32)/3</f>
        <v>56.666666666666664</v>
      </c>
      <c r="I32" s="14">
        <f t="shared" ref="I32:I33" si="74">SQRT(J32)</f>
        <v>6.5616732283431762</v>
      </c>
      <c r="J32" s="72">
        <f t="shared" ref="J32:J33" si="75">(POWER(F32-D32,2)+(E32-D32)*(E32-F32))/18</f>
        <v>43.055555555555557</v>
      </c>
      <c r="K32" s="12"/>
      <c r="L32" s="13">
        <f t="shared" ref="L32:L33" si="76">D32*Green_Team_Productivity_Multiplier</f>
        <v>56.25</v>
      </c>
      <c r="M32" s="14">
        <f t="shared" ref="M32:M33" si="77">E32*Green_Team_Productivity_Multiplier</f>
        <v>62.5</v>
      </c>
      <c r="N32" s="14">
        <f t="shared" ref="N32:N33" si="78">F32*Green_Team_Productivity_Multiplier</f>
        <v>93.75</v>
      </c>
      <c r="O32" s="15">
        <f t="shared" ref="O32:O33" si="79">(N32+L32+(4*M32))/6</f>
        <v>66.666666666666671</v>
      </c>
      <c r="P32" s="14">
        <f t="shared" ref="P32:P33" si="80">D32*Expert_Team_Productivity_Multiplier</f>
        <v>33.75</v>
      </c>
      <c r="Q32" s="14">
        <f t="shared" ref="Q32:Q33" si="81">E32*Expert_Team_Productivity_Multiplier</f>
        <v>37.5</v>
      </c>
      <c r="R32" s="14">
        <f t="shared" ref="R32:R33" si="82">F32*Expert_Team_Productivity_Multiplier</f>
        <v>56.25</v>
      </c>
      <c r="S32" s="16">
        <f t="shared" ref="S32:S33" si="83">(R32+P32+(4*Q32))/6</f>
        <v>40</v>
      </c>
      <c r="T32" s="17"/>
    </row>
    <row r="33" spans="1:20" x14ac:dyDescent="0.2">
      <c r="A33" s="67">
        <f>ROW() - 13</f>
        <v>20</v>
      </c>
      <c r="B33" s="69"/>
      <c r="C33" s="64"/>
      <c r="D33" s="11"/>
      <c r="E33" s="11"/>
      <c r="F33" s="11"/>
      <c r="G33" s="14">
        <f t="shared" si="72"/>
        <v>0</v>
      </c>
      <c r="H33" s="14">
        <f t="shared" si="73"/>
        <v>0</v>
      </c>
      <c r="I33" s="14">
        <f t="shared" si="74"/>
        <v>0</v>
      </c>
      <c r="J33" s="72">
        <f t="shared" si="75"/>
        <v>0</v>
      </c>
      <c r="K33" s="12"/>
      <c r="L33" s="13">
        <f t="shared" si="76"/>
        <v>0</v>
      </c>
      <c r="M33" s="14">
        <f t="shared" si="77"/>
        <v>0</v>
      </c>
      <c r="N33" s="14">
        <f t="shared" si="78"/>
        <v>0</v>
      </c>
      <c r="O33" s="15">
        <f t="shared" si="79"/>
        <v>0</v>
      </c>
      <c r="P33" s="14">
        <f t="shared" si="80"/>
        <v>0</v>
      </c>
      <c r="Q33" s="14">
        <f t="shared" si="81"/>
        <v>0</v>
      </c>
      <c r="R33" s="14">
        <f t="shared" si="82"/>
        <v>0</v>
      </c>
      <c r="S33" s="16">
        <f t="shared" si="83"/>
        <v>0</v>
      </c>
      <c r="T33" s="17"/>
    </row>
    <row r="34" spans="1:20" x14ac:dyDescent="0.2">
      <c r="A34" s="67">
        <f t="shared" ref="A34:A99" si="84">IF(B34&lt;&gt;"",ROW() - 13,"")</f>
        <v>21</v>
      </c>
      <c r="B34" s="54" t="s">
        <v>153</v>
      </c>
      <c r="C34" s="64"/>
      <c r="D34" s="11"/>
      <c r="E34" s="11"/>
      <c r="F34" s="11"/>
      <c r="G34" s="14">
        <f t="shared" si="0"/>
        <v>0</v>
      </c>
      <c r="H34" s="14">
        <f t="shared" si="1"/>
        <v>0</v>
      </c>
      <c r="I34" s="14">
        <f t="shared" si="2"/>
        <v>0</v>
      </c>
      <c r="J34" s="72">
        <f t="shared" si="3"/>
        <v>0</v>
      </c>
      <c r="K34" s="12"/>
      <c r="L34" s="13">
        <f t="shared" si="4"/>
        <v>0</v>
      </c>
      <c r="M34" s="14">
        <f t="shared" si="5"/>
        <v>0</v>
      </c>
      <c r="N34" s="14">
        <f t="shared" si="6"/>
        <v>0</v>
      </c>
      <c r="O34" s="15">
        <f t="shared" si="7"/>
        <v>0</v>
      </c>
      <c r="P34" s="14">
        <f t="shared" si="8"/>
        <v>0</v>
      </c>
      <c r="Q34" s="14">
        <f t="shared" si="9"/>
        <v>0</v>
      </c>
      <c r="R34" s="14">
        <f t="shared" si="10"/>
        <v>0</v>
      </c>
      <c r="S34" s="16">
        <f t="shared" si="11"/>
        <v>0</v>
      </c>
      <c r="T34" s="17"/>
    </row>
    <row r="35" spans="1:20" x14ac:dyDescent="0.2">
      <c r="A35" s="67">
        <f t="shared" si="84"/>
        <v>22</v>
      </c>
      <c r="B35" s="69" t="s">
        <v>155</v>
      </c>
      <c r="C35" s="64" t="s">
        <v>109</v>
      </c>
      <c r="D35" s="11">
        <v>3.5</v>
      </c>
      <c r="E35" s="11">
        <v>5</v>
      </c>
      <c r="F35" s="11">
        <v>8</v>
      </c>
      <c r="G35" s="14">
        <f t="shared" si="0"/>
        <v>5.25</v>
      </c>
      <c r="H35" s="14">
        <f t="shared" si="1"/>
        <v>5.5</v>
      </c>
      <c r="I35" s="14">
        <f t="shared" si="2"/>
        <v>0.93541434669348533</v>
      </c>
      <c r="J35" s="72">
        <f t="shared" si="3"/>
        <v>0.875</v>
      </c>
      <c r="K35" s="12"/>
      <c r="L35" s="13">
        <f t="shared" si="4"/>
        <v>4.375</v>
      </c>
      <c r="M35" s="14">
        <f t="shared" si="5"/>
        <v>6.25</v>
      </c>
      <c r="N35" s="14">
        <f t="shared" si="6"/>
        <v>10</v>
      </c>
      <c r="O35" s="15">
        <f t="shared" si="7"/>
        <v>6.5625</v>
      </c>
      <c r="P35" s="14">
        <f t="shared" si="8"/>
        <v>2.625</v>
      </c>
      <c r="Q35" s="14">
        <f t="shared" si="9"/>
        <v>3.75</v>
      </c>
      <c r="R35" s="14">
        <f t="shared" si="10"/>
        <v>6</v>
      </c>
      <c r="S35" s="16">
        <f t="shared" si="11"/>
        <v>3.9375</v>
      </c>
      <c r="T35" s="17"/>
    </row>
    <row r="36" spans="1:20" x14ac:dyDescent="0.2">
      <c r="A36" s="67" t="str">
        <f t="shared" si="84"/>
        <v/>
      </c>
      <c r="B36" s="69"/>
      <c r="C36" s="64"/>
      <c r="D36" s="11"/>
      <c r="E36" s="11"/>
      <c r="F36" s="11"/>
      <c r="G36" s="14">
        <f>(D36+F36+(E36*4))/6</f>
        <v>0</v>
      </c>
      <c r="H36" s="14">
        <f>(D36+E36+F36)/3</f>
        <v>0</v>
      </c>
      <c r="I36" s="14">
        <f>SQRT(J36)</f>
        <v>0</v>
      </c>
      <c r="J36" s="72">
        <f>(POWER(F36-D36,2)+(E36-D36)*(E36-F36))/18</f>
        <v>0</v>
      </c>
      <c r="K36" s="12"/>
      <c r="L36" s="13">
        <f>D36*Green_Team_Productivity_Multiplier</f>
        <v>0</v>
      </c>
      <c r="M36" s="14">
        <f>E36*Green_Team_Productivity_Multiplier</f>
        <v>0</v>
      </c>
      <c r="N36" s="14">
        <f>F36*Green_Team_Productivity_Multiplier</f>
        <v>0</v>
      </c>
      <c r="O36" s="15">
        <f>(N36+L36+(4*M36))/6</f>
        <v>0</v>
      </c>
      <c r="P36" s="14">
        <f>D36*Expert_Team_Productivity_Multiplier</f>
        <v>0</v>
      </c>
      <c r="Q36" s="14">
        <f>E36*Expert_Team_Productivity_Multiplier</f>
        <v>0</v>
      </c>
      <c r="R36" s="14">
        <f>F36*Expert_Team_Productivity_Multiplier</f>
        <v>0</v>
      </c>
      <c r="S36" s="16">
        <f>(R36+P36+(4*Q36))/6</f>
        <v>0</v>
      </c>
      <c r="T36" s="17"/>
    </row>
    <row r="37" spans="1:20" x14ac:dyDescent="0.2">
      <c r="A37" s="67">
        <f t="shared" si="84"/>
        <v>24</v>
      </c>
      <c r="B37" s="69" t="s">
        <v>156</v>
      </c>
      <c r="C37" s="64"/>
      <c r="D37" s="11"/>
      <c r="E37" s="11"/>
      <c r="F37" s="11"/>
      <c r="G37" s="14">
        <f t="shared" si="0"/>
        <v>0</v>
      </c>
      <c r="H37" s="14">
        <f t="shared" si="1"/>
        <v>0</v>
      </c>
      <c r="I37" s="14">
        <f t="shared" si="2"/>
        <v>0</v>
      </c>
      <c r="J37" s="72">
        <f t="shared" si="3"/>
        <v>0</v>
      </c>
      <c r="K37" s="12"/>
      <c r="L37" s="13">
        <f t="shared" si="4"/>
        <v>0</v>
      </c>
      <c r="M37" s="14">
        <f t="shared" si="5"/>
        <v>0</v>
      </c>
      <c r="N37" s="14">
        <f t="shared" si="6"/>
        <v>0</v>
      </c>
      <c r="O37" s="15">
        <f t="shared" si="7"/>
        <v>0</v>
      </c>
      <c r="P37" s="14">
        <f t="shared" si="8"/>
        <v>0</v>
      </c>
      <c r="Q37" s="14">
        <f t="shared" si="9"/>
        <v>0</v>
      </c>
      <c r="R37" s="14">
        <f t="shared" si="10"/>
        <v>0</v>
      </c>
      <c r="S37" s="16">
        <f t="shared" si="11"/>
        <v>0</v>
      </c>
      <c r="T37" s="17"/>
    </row>
    <row r="38" spans="1:20" x14ac:dyDescent="0.2">
      <c r="A38" s="67">
        <f t="shared" si="84"/>
        <v>25</v>
      </c>
      <c r="B38" s="69" t="s">
        <v>157</v>
      </c>
      <c r="C38" s="64" t="s">
        <v>109</v>
      </c>
      <c r="D38" s="11">
        <v>18</v>
      </c>
      <c r="E38" s="11">
        <v>21.5</v>
      </c>
      <c r="F38" s="11">
        <v>32.5</v>
      </c>
      <c r="G38" s="14">
        <f t="shared" si="0"/>
        <v>22.75</v>
      </c>
      <c r="H38" s="14">
        <f t="shared" si="1"/>
        <v>24</v>
      </c>
      <c r="I38" s="14">
        <f t="shared" si="2"/>
        <v>3.0889588321417731</v>
      </c>
      <c r="J38" s="72">
        <f t="shared" si="3"/>
        <v>9.5416666666666661</v>
      </c>
      <c r="K38" s="12"/>
      <c r="L38" s="13">
        <f t="shared" si="4"/>
        <v>22.5</v>
      </c>
      <c r="M38" s="14">
        <f t="shared" si="5"/>
        <v>26.875</v>
      </c>
      <c r="N38" s="14">
        <f t="shared" si="6"/>
        <v>40.625</v>
      </c>
      <c r="O38" s="15">
        <f t="shared" si="7"/>
        <v>28.4375</v>
      </c>
      <c r="P38" s="14">
        <f t="shared" si="8"/>
        <v>13.5</v>
      </c>
      <c r="Q38" s="14">
        <f t="shared" si="9"/>
        <v>16.125</v>
      </c>
      <c r="R38" s="14">
        <f t="shared" si="10"/>
        <v>24.375</v>
      </c>
      <c r="S38" s="16">
        <f t="shared" si="11"/>
        <v>17.0625</v>
      </c>
      <c r="T38" s="17"/>
    </row>
    <row r="39" spans="1:20" x14ac:dyDescent="0.2">
      <c r="A39" s="67">
        <f t="shared" si="84"/>
        <v>26</v>
      </c>
      <c r="B39" s="69" t="s">
        <v>158</v>
      </c>
      <c r="C39" s="64" t="s">
        <v>109</v>
      </c>
      <c r="D39" s="11">
        <v>1.5</v>
      </c>
      <c r="E39" s="11">
        <v>2.1</v>
      </c>
      <c r="F39" s="11">
        <v>3.5</v>
      </c>
      <c r="G39" s="14">
        <f t="shared" si="0"/>
        <v>2.2333333333333334</v>
      </c>
      <c r="H39" s="14">
        <f t="shared" si="1"/>
        <v>2.3666666666666667</v>
      </c>
      <c r="I39" s="14">
        <f t="shared" si="2"/>
        <v>0.41899350299921784</v>
      </c>
      <c r="J39" s="72">
        <f t="shared" si="3"/>
        <v>0.17555555555555558</v>
      </c>
      <c r="K39" s="12"/>
      <c r="L39" s="13">
        <f t="shared" si="4"/>
        <v>1.875</v>
      </c>
      <c r="M39" s="14">
        <f t="shared" si="5"/>
        <v>2.625</v>
      </c>
      <c r="N39" s="14">
        <f t="shared" si="6"/>
        <v>4.375</v>
      </c>
      <c r="O39" s="15">
        <f t="shared" si="7"/>
        <v>2.7916666666666665</v>
      </c>
      <c r="P39" s="14">
        <f t="shared" si="8"/>
        <v>1.125</v>
      </c>
      <c r="Q39" s="14">
        <f t="shared" si="9"/>
        <v>1.5750000000000002</v>
      </c>
      <c r="R39" s="14">
        <f t="shared" si="10"/>
        <v>2.625</v>
      </c>
      <c r="S39" s="16">
        <f t="shared" si="11"/>
        <v>1.675</v>
      </c>
      <c r="T39" s="17"/>
    </row>
    <row r="40" spans="1:20" x14ac:dyDescent="0.2">
      <c r="A40" s="67">
        <f>ROW() - 13</f>
        <v>27</v>
      </c>
      <c r="B40" s="69"/>
      <c r="C40" s="64"/>
      <c r="D40" s="11"/>
      <c r="E40" s="11"/>
      <c r="F40" s="11"/>
      <c r="G40" s="14">
        <f t="shared" ref="G40" si="85">(D40+F40+(E40*4))/6</f>
        <v>0</v>
      </c>
      <c r="H40" s="14">
        <f t="shared" ref="H40" si="86">(D40+E40+F40)/3</f>
        <v>0</v>
      </c>
      <c r="I40" s="14">
        <f t="shared" ref="I40" si="87">SQRT(J40)</f>
        <v>0</v>
      </c>
      <c r="J40" s="72">
        <f t="shared" ref="J40" si="88">(POWER(F40-D40,2)+(E40-D40)*(E40-F40))/18</f>
        <v>0</v>
      </c>
      <c r="K40" s="12"/>
      <c r="L40" s="13">
        <f t="shared" ref="L40" si="89">D40*Green_Team_Productivity_Multiplier</f>
        <v>0</v>
      </c>
      <c r="M40" s="14">
        <f t="shared" ref="M40" si="90">E40*Green_Team_Productivity_Multiplier</f>
        <v>0</v>
      </c>
      <c r="N40" s="14">
        <f t="shared" ref="N40" si="91">F40*Green_Team_Productivity_Multiplier</f>
        <v>0</v>
      </c>
      <c r="O40" s="15">
        <f t="shared" ref="O40" si="92">(N40+L40+(4*M40))/6</f>
        <v>0</v>
      </c>
      <c r="P40" s="14">
        <f t="shared" ref="P40" si="93">D40*Expert_Team_Productivity_Multiplier</f>
        <v>0</v>
      </c>
      <c r="Q40" s="14">
        <f t="shared" ref="Q40" si="94">E40*Expert_Team_Productivity_Multiplier</f>
        <v>0</v>
      </c>
      <c r="R40" s="14">
        <f t="shared" ref="R40" si="95">F40*Expert_Team_Productivity_Multiplier</f>
        <v>0</v>
      </c>
      <c r="S40" s="16">
        <f t="shared" ref="S40" si="96">(R40+P40+(4*Q40))/6</f>
        <v>0</v>
      </c>
      <c r="T40" s="17"/>
    </row>
    <row r="41" spans="1:20" x14ac:dyDescent="0.2">
      <c r="A41" s="67">
        <f>ROW() - 13</f>
        <v>28</v>
      </c>
      <c r="B41" s="69" t="s">
        <v>159</v>
      </c>
      <c r="C41" s="64"/>
      <c r="D41" s="11"/>
      <c r="E41" s="11"/>
      <c r="F41" s="11"/>
      <c r="G41" s="14">
        <f t="shared" si="0"/>
        <v>0</v>
      </c>
      <c r="H41" s="14">
        <f t="shared" si="1"/>
        <v>0</v>
      </c>
      <c r="I41" s="14">
        <f t="shared" si="2"/>
        <v>0</v>
      </c>
      <c r="J41" s="72">
        <f t="shared" si="3"/>
        <v>0</v>
      </c>
      <c r="K41" s="12"/>
      <c r="L41" s="13">
        <f t="shared" si="4"/>
        <v>0</v>
      </c>
      <c r="M41" s="14">
        <f t="shared" si="5"/>
        <v>0</v>
      </c>
      <c r="N41" s="14">
        <f t="shared" si="6"/>
        <v>0</v>
      </c>
      <c r="O41" s="15">
        <f t="shared" si="7"/>
        <v>0</v>
      </c>
      <c r="P41" s="14">
        <f t="shared" si="8"/>
        <v>0</v>
      </c>
      <c r="Q41" s="14">
        <f t="shared" si="9"/>
        <v>0</v>
      </c>
      <c r="R41" s="14">
        <f t="shared" si="10"/>
        <v>0</v>
      </c>
      <c r="S41" s="16">
        <f t="shared" si="11"/>
        <v>0</v>
      </c>
      <c r="T41" s="17"/>
    </row>
    <row r="42" spans="1:20" x14ac:dyDescent="0.2">
      <c r="A42" s="67">
        <f>ROW() - 13</f>
        <v>29</v>
      </c>
      <c r="B42" s="69" t="s">
        <v>160</v>
      </c>
      <c r="C42" s="64" t="s">
        <v>109</v>
      </c>
      <c r="D42" s="11">
        <v>20</v>
      </c>
      <c r="E42" s="11">
        <v>22.63</v>
      </c>
      <c r="F42" s="11">
        <v>34</v>
      </c>
      <c r="G42" s="14">
        <f t="shared" ref="G42" si="97">(D42+F42+(E42*4))/6</f>
        <v>24.086666666666662</v>
      </c>
      <c r="H42" s="14">
        <f t="shared" ref="H42" si="98">(D42+E42+F42)/3</f>
        <v>25.543333333333333</v>
      </c>
      <c r="I42" s="14">
        <f t="shared" ref="I42" si="99">SQRT(J42)</f>
        <v>3.0376974101374143</v>
      </c>
      <c r="J42" s="72">
        <f t="shared" ref="J42" si="100">(POWER(F42-D42,2)+(E42-D42)*(E42-F42))/18</f>
        <v>9.2276055555555558</v>
      </c>
      <c r="K42" s="12"/>
      <c r="L42" s="13">
        <f t="shared" ref="L42" si="101">D42*Green_Team_Productivity_Multiplier</f>
        <v>25</v>
      </c>
      <c r="M42" s="14">
        <f t="shared" ref="M42" si="102">E42*Green_Team_Productivity_Multiplier</f>
        <v>28.287499999999998</v>
      </c>
      <c r="N42" s="14">
        <f t="shared" ref="N42" si="103">F42*Green_Team_Productivity_Multiplier</f>
        <v>42.5</v>
      </c>
      <c r="O42" s="15">
        <f t="shared" ref="O42" si="104">(N42+L42+(4*M42))/6</f>
        <v>30.108333333333331</v>
      </c>
      <c r="P42" s="14">
        <f t="shared" ref="P42" si="105">D42*Expert_Team_Productivity_Multiplier</f>
        <v>15</v>
      </c>
      <c r="Q42" s="14">
        <f t="shared" ref="Q42" si="106">E42*Expert_Team_Productivity_Multiplier</f>
        <v>16.9725</v>
      </c>
      <c r="R42" s="14">
        <f t="shared" ref="R42" si="107">F42*Expert_Team_Productivity_Multiplier</f>
        <v>25.5</v>
      </c>
      <c r="S42" s="16">
        <f t="shared" ref="S42" si="108">(R42+P42+(4*Q42))/6</f>
        <v>18.065000000000001</v>
      </c>
      <c r="T42" s="17"/>
    </row>
    <row r="43" spans="1:20" x14ac:dyDescent="0.2">
      <c r="A43" s="67">
        <f>ROW() - 13</f>
        <v>30</v>
      </c>
      <c r="B43" s="69"/>
      <c r="C43" s="64"/>
      <c r="D43" s="11"/>
      <c r="E43" s="11"/>
      <c r="F43" s="11"/>
      <c r="G43" s="14">
        <f t="shared" si="0"/>
        <v>0</v>
      </c>
      <c r="H43" s="14">
        <f t="shared" si="1"/>
        <v>0</v>
      </c>
      <c r="I43" s="14">
        <f t="shared" si="2"/>
        <v>0</v>
      </c>
      <c r="J43" s="72">
        <f t="shared" si="3"/>
        <v>0</v>
      </c>
      <c r="K43" s="12"/>
      <c r="L43" s="13">
        <f t="shared" si="4"/>
        <v>0</v>
      </c>
      <c r="M43" s="14">
        <f t="shared" si="5"/>
        <v>0</v>
      </c>
      <c r="N43" s="14">
        <f t="shared" si="6"/>
        <v>0</v>
      </c>
      <c r="O43" s="15">
        <f t="shared" si="7"/>
        <v>0</v>
      </c>
      <c r="P43" s="14">
        <f t="shared" si="8"/>
        <v>0</v>
      </c>
      <c r="Q43" s="14">
        <f t="shared" si="9"/>
        <v>0</v>
      </c>
      <c r="R43" s="14">
        <f t="shared" si="10"/>
        <v>0</v>
      </c>
      <c r="S43" s="16">
        <f t="shared" si="11"/>
        <v>0</v>
      </c>
      <c r="T43" s="17"/>
    </row>
    <row r="44" spans="1:20" x14ac:dyDescent="0.2">
      <c r="A44" s="67">
        <f>ROW() - 13</f>
        <v>31</v>
      </c>
      <c r="B44" s="69" t="s">
        <v>161</v>
      </c>
      <c r="C44" s="64"/>
      <c r="D44" s="11"/>
      <c r="E44" s="11"/>
      <c r="F44" s="11"/>
      <c r="G44" s="14">
        <f t="shared" ref="G44:G98" si="109">(D44+F44+(E44*4))/6</f>
        <v>0</v>
      </c>
      <c r="H44" s="14">
        <f t="shared" ref="H44:H98" si="110">(D44+E44+F44)/3</f>
        <v>0</v>
      </c>
      <c r="I44" s="14">
        <f t="shared" ref="I44:I98" si="111">SQRT(J44)</f>
        <v>0</v>
      </c>
      <c r="J44" s="72">
        <f t="shared" ref="J44:J98" si="112">(POWER(F44-D44,2)+(E44-D44)*(E44-F44))/18</f>
        <v>0</v>
      </c>
      <c r="K44" s="12"/>
      <c r="L44" s="13">
        <f t="shared" ref="L44:L98" si="113">D44*Green_Team_Productivity_Multiplier</f>
        <v>0</v>
      </c>
      <c r="M44" s="14">
        <f t="shared" ref="M44:M98" si="114">E44*Green_Team_Productivity_Multiplier</f>
        <v>0</v>
      </c>
      <c r="N44" s="14">
        <f t="shared" ref="N44:N98" si="115">F44*Green_Team_Productivity_Multiplier</f>
        <v>0</v>
      </c>
      <c r="O44" s="15">
        <f t="shared" ref="O44:O98" si="116">(N44+L44+(4*M44))/6</f>
        <v>0</v>
      </c>
      <c r="P44" s="14">
        <f t="shared" ref="P44:P98" si="117">D44*Expert_Team_Productivity_Multiplier</f>
        <v>0</v>
      </c>
      <c r="Q44" s="14">
        <f t="shared" ref="Q44:Q98" si="118">E44*Expert_Team_Productivity_Multiplier</f>
        <v>0</v>
      </c>
      <c r="R44" s="14">
        <f t="shared" ref="R44:R98" si="119">F44*Expert_Team_Productivity_Multiplier</f>
        <v>0</v>
      </c>
      <c r="S44" s="16">
        <f t="shared" ref="S44:S98" si="120">(R44+P44+(4*Q44))/6</f>
        <v>0</v>
      </c>
      <c r="T44" s="17"/>
    </row>
    <row r="45" spans="1:20" x14ac:dyDescent="0.2">
      <c r="A45" s="67">
        <f>ROW() - 13</f>
        <v>32</v>
      </c>
      <c r="B45" s="69" t="s">
        <v>162</v>
      </c>
      <c r="C45" s="64" t="s">
        <v>109</v>
      </c>
      <c r="D45" s="11">
        <v>36</v>
      </c>
      <c r="E45" s="11">
        <v>40</v>
      </c>
      <c r="F45" s="11">
        <v>60</v>
      </c>
      <c r="G45" s="14">
        <f t="shared" si="109"/>
        <v>42.666666666666664</v>
      </c>
      <c r="H45" s="14">
        <f t="shared" si="110"/>
        <v>45.333333333333336</v>
      </c>
      <c r="I45" s="14">
        <f t="shared" si="111"/>
        <v>5.2493385826745405</v>
      </c>
      <c r="J45" s="72">
        <f t="shared" si="112"/>
        <v>27.555555555555557</v>
      </c>
      <c r="K45" s="12"/>
      <c r="L45" s="13">
        <f t="shared" si="113"/>
        <v>45</v>
      </c>
      <c r="M45" s="14">
        <f t="shared" si="114"/>
        <v>50</v>
      </c>
      <c r="N45" s="14">
        <f t="shared" si="115"/>
        <v>75</v>
      </c>
      <c r="O45" s="15">
        <f t="shared" si="116"/>
        <v>53.333333333333336</v>
      </c>
      <c r="P45" s="14">
        <f t="shared" si="117"/>
        <v>27</v>
      </c>
      <c r="Q45" s="14">
        <f t="shared" si="118"/>
        <v>30</v>
      </c>
      <c r="R45" s="14">
        <f t="shared" si="119"/>
        <v>45</v>
      </c>
      <c r="S45" s="16">
        <f t="shared" si="120"/>
        <v>32</v>
      </c>
      <c r="T45" s="17"/>
    </row>
    <row r="46" spans="1:20" x14ac:dyDescent="0.2">
      <c r="A46" s="67">
        <f>ROW() - 13</f>
        <v>33</v>
      </c>
      <c r="B46" s="56" t="s">
        <v>150</v>
      </c>
      <c r="C46" s="64" t="s">
        <v>109</v>
      </c>
      <c r="D46" s="11">
        <v>7</v>
      </c>
      <c r="E46" s="11">
        <v>8.33</v>
      </c>
      <c r="F46" s="11">
        <v>12.5</v>
      </c>
      <c r="G46" s="14">
        <f t="shared" ref="G46" si="121">(D46+F46+(E46*4))/6</f>
        <v>8.8033333333333328</v>
      </c>
      <c r="H46" s="14">
        <f t="shared" ref="H46" si="122">(D46+E46+F46)/3</f>
        <v>9.2766666666666655</v>
      </c>
      <c r="I46" s="14">
        <f t="shared" ref="I46" si="123">SQRT(J46)</f>
        <v>1.1715113695090156</v>
      </c>
      <c r="J46" s="72">
        <f t="shared" ref="J46" si="124">(POWER(F46-D46,2)+(E46-D46)*(E46-F46))/18</f>
        <v>1.372438888888889</v>
      </c>
      <c r="K46" s="12"/>
      <c r="L46" s="13">
        <f t="shared" ref="L46" si="125">D46*Green_Team_Productivity_Multiplier</f>
        <v>8.75</v>
      </c>
      <c r="M46" s="14">
        <f t="shared" ref="M46" si="126">E46*Green_Team_Productivity_Multiplier</f>
        <v>10.4125</v>
      </c>
      <c r="N46" s="14">
        <f t="shared" ref="N46" si="127">F46*Green_Team_Productivity_Multiplier</f>
        <v>15.625</v>
      </c>
      <c r="O46" s="15">
        <f t="shared" ref="O46" si="128">(N46+L46+(4*M46))/6</f>
        <v>11.004166666666668</v>
      </c>
      <c r="P46" s="14">
        <f t="shared" ref="P46" si="129">D46*Expert_Team_Productivity_Multiplier</f>
        <v>5.25</v>
      </c>
      <c r="Q46" s="14">
        <f t="shared" ref="Q46" si="130">E46*Expert_Team_Productivity_Multiplier</f>
        <v>6.2475000000000005</v>
      </c>
      <c r="R46" s="14">
        <f t="shared" ref="R46" si="131">F46*Expert_Team_Productivity_Multiplier</f>
        <v>9.375</v>
      </c>
      <c r="S46" s="16">
        <f t="shared" ref="S46" si="132">(R46+P46+(4*Q46))/6</f>
        <v>6.6025</v>
      </c>
      <c r="T46" s="17"/>
    </row>
    <row r="47" spans="1:20" x14ac:dyDescent="0.2">
      <c r="A47" s="67">
        <f>ROW() - 13</f>
        <v>34</v>
      </c>
      <c r="B47" s="56" t="s">
        <v>151</v>
      </c>
      <c r="C47" s="64" t="s">
        <v>109</v>
      </c>
      <c r="D47" s="11">
        <v>10.5</v>
      </c>
      <c r="E47" s="11">
        <v>11.67</v>
      </c>
      <c r="F47" s="11">
        <v>18</v>
      </c>
      <c r="G47" s="14">
        <f t="shared" si="109"/>
        <v>12.530000000000001</v>
      </c>
      <c r="H47" s="14">
        <f t="shared" si="110"/>
        <v>13.39</v>
      </c>
      <c r="I47" s="14">
        <f t="shared" si="111"/>
        <v>1.6472856461464114</v>
      </c>
      <c r="J47" s="72">
        <f t="shared" si="112"/>
        <v>2.7135499999999997</v>
      </c>
      <c r="K47" s="12"/>
      <c r="L47" s="13">
        <f t="shared" si="113"/>
        <v>13.125</v>
      </c>
      <c r="M47" s="14">
        <f t="shared" si="114"/>
        <v>14.5875</v>
      </c>
      <c r="N47" s="14">
        <f t="shared" si="115"/>
        <v>22.5</v>
      </c>
      <c r="O47" s="15">
        <f t="shared" si="116"/>
        <v>15.6625</v>
      </c>
      <c r="P47" s="14">
        <f t="shared" si="117"/>
        <v>7.875</v>
      </c>
      <c r="Q47" s="14">
        <f t="shared" si="118"/>
        <v>8.7524999999999995</v>
      </c>
      <c r="R47" s="14">
        <f t="shared" si="119"/>
        <v>13.5</v>
      </c>
      <c r="S47" s="16">
        <f t="shared" si="120"/>
        <v>9.3974999999999991</v>
      </c>
      <c r="T47" s="17"/>
    </row>
    <row r="48" spans="1:20" x14ac:dyDescent="0.2">
      <c r="A48" s="67">
        <f>ROW() - 13</f>
        <v>35</v>
      </c>
      <c r="B48" s="56" t="s">
        <v>152</v>
      </c>
      <c r="C48" s="64" t="s">
        <v>109</v>
      </c>
      <c r="D48" s="11">
        <v>5</v>
      </c>
      <c r="E48" s="11">
        <v>6</v>
      </c>
      <c r="F48" s="11">
        <v>9</v>
      </c>
      <c r="G48" s="14">
        <f t="shared" ref="G48:G51" si="133">(D48+F48+(E48*4))/6</f>
        <v>6.333333333333333</v>
      </c>
      <c r="H48" s="14">
        <f t="shared" ref="H48:H51" si="134">(D48+E48+F48)/3</f>
        <v>6.666666666666667</v>
      </c>
      <c r="I48" s="14">
        <f t="shared" ref="I48:I51" si="135">SQRT(J48)</f>
        <v>0.84983658559879749</v>
      </c>
      <c r="J48" s="72">
        <f t="shared" ref="J48:J51" si="136">(POWER(F48-D48,2)+(E48-D48)*(E48-F48))/18</f>
        <v>0.72222222222222221</v>
      </c>
      <c r="K48" s="12"/>
      <c r="L48" s="13">
        <f t="shared" ref="L48:L51" si="137">D48*Green_Team_Productivity_Multiplier</f>
        <v>6.25</v>
      </c>
      <c r="M48" s="14">
        <f t="shared" ref="M48:M51" si="138">E48*Green_Team_Productivity_Multiplier</f>
        <v>7.5</v>
      </c>
      <c r="N48" s="14">
        <f t="shared" ref="N48:N51" si="139">F48*Green_Team_Productivity_Multiplier</f>
        <v>11.25</v>
      </c>
      <c r="O48" s="15">
        <f t="shared" ref="O48:O51" si="140">(N48+L48+(4*M48))/6</f>
        <v>7.916666666666667</v>
      </c>
      <c r="P48" s="14">
        <f t="shared" ref="P48:P51" si="141">D48*Expert_Team_Productivity_Multiplier</f>
        <v>3.75</v>
      </c>
      <c r="Q48" s="14">
        <f t="shared" ref="Q48:Q51" si="142">E48*Expert_Team_Productivity_Multiplier</f>
        <v>4.5</v>
      </c>
      <c r="R48" s="14">
        <f t="shared" ref="R48:R51" si="143">F48*Expert_Team_Productivity_Multiplier</f>
        <v>6.75</v>
      </c>
      <c r="S48" s="16">
        <f t="shared" ref="S48:S51" si="144">(R48+P48+(4*Q48))/6</f>
        <v>4.75</v>
      </c>
      <c r="T48" s="17"/>
    </row>
    <row r="49" spans="1:20" x14ac:dyDescent="0.2">
      <c r="A49" s="67">
        <f>ROW() - 13</f>
        <v>36</v>
      </c>
      <c r="B49" s="56"/>
      <c r="C49" s="64"/>
      <c r="D49" s="11"/>
      <c r="E49" s="11"/>
      <c r="F49" s="11"/>
      <c r="G49" s="14">
        <f t="shared" si="133"/>
        <v>0</v>
      </c>
      <c r="H49" s="14">
        <f t="shared" si="134"/>
        <v>0</v>
      </c>
      <c r="I49" s="14">
        <f t="shared" si="135"/>
        <v>0</v>
      </c>
      <c r="J49" s="72">
        <f t="shared" si="136"/>
        <v>0</v>
      </c>
      <c r="K49" s="12"/>
      <c r="L49" s="13">
        <f t="shared" si="137"/>
        <v>0</v>
      </c>
      <c r="M49" s="14">
        <f t="shared" si="138"/>
        <v>0</v>
      </c>
      <c r="N49" s="14">
        <f t="shared" si="139"/>
        <v>0</v>
      </c>
      <c r="O49" s="15">
        <f t="shared" si="140"/>
        <v>0</v>
      </c>
      <c r="P49" s="14">
        <f t="shared" si="141"/>
        <v>0</v>
      </c>
      <c r="Q49" s="14">
        <f t="shared" si="142"/>
        <v>0</v>
      </c>
      <c r="R49" s="14">
        <f t="shared" si="143"/>
        <v>0</v>
      </c>
      <c r="S49" s="16">
        <f t="shared" si="144"/>
        <v>0</v>
      </c>
      <c r="T49" s="17"/>
    </row>
    <row r="50" spans="1:20" x14ac:dyDescent="0.2">
      <c r="A50" s="67">
        <f>ROW() - 13</f>
        <v>37</v>
      </c>
      <c r="B50" s="56" t="s">
        <v>173</v>
      </c>
      <c r="C50" s="64" t="s">
        <v>109</v>
      </c>
      <c r="D50" s="11">
        <v>14.5</v>
      </c>
      <c r="E50" s="11">
        <v>16.16</v>
      </c>
      <c r="F50" s="11">
        <v>25</v>
      </c>
      <c r="G50" s="14">
        <f t="shared" ref="G50" si="145">(D50+F50+(E50*4))/6</f>
        <v>17.356666666666666</v>
      </c>
      <c r="H50" s="14">
        <f t="shared" ref="H50" si="146">(D50+E50+F50)/3</f>
        <v>18.553333333333331</v>
      </c>
      <c r="I50" s="14">
        <f t="shared" ref="I50" si="147">SQRT(J50)</f>
        <v>2.3042906838234529</v>
      </c>
      <c r="J50" s="72">
        <f t="shared" ref="J50" si="148">(POWER(F50-D50,2)+(E50-D50)*(E50-F50))/18</f>
        <v>5.3097555555555553</v>
      </c>
      <c r="K50" s="12"/>
      <c r="L50" s="13">
        <f t="shared" ref="L50" si="149">D50*Green_Team_Productivity_Multiplier</f>
        <v>18.125</v>
      </c>
      <c r="M50" s="14">
        <f t="shared" ref="M50" si="150">E50*Green_Team_Productivity_Multiplier</f>
        <v>20.2</v>
      </c>
      <c r="N50" s="14">
        <f t="shared" ref="N50" si="151">F50*Green_Team_Productivity_Multiplier</f>
        <v>31.25</v>
      </c>
      <c r="O50" s="15">
        <f t="shared" ref="O50" si="152">(N50+L50+(4*M50))/6</f>
        <v>21.695833333333336</v>
      </c>
      <c r="P50" s="14">
        <f t="shared" ref="P50" si="153">D50*Expert_Team_Productivity_Multiplier</f>
        <v>10.875</v>
      </c>
      <c r="Q50" s="14">
        <f t="shared" ref="Q50" si="154">E50*Expert_Team_Productivity_Multiplier</f>
        <v>12.120000000000001</v>
      </c>
      <c r="R50" s="14">
        <f t="shared" ref="R50" si="155">F50*Expert_Team_Productivity_Multiplier</f>
        <v>18.75</v>
      </c>
      <c r="S50" s="16">
        <f t="shared" ref="S50" si="156">(R50+P50+(4*Q50))/6</f>
        <v>13.0175</v>
      </c>
      <c r="T50" s="17"/>
    </row>
    <row r="51" spans="1:20" x14ac:dyDescent="0.2">
      <c r="A51" s="67">
        <f>ROW() - 13</f>
        <v>38</v>
      </c>
      <c r="B51" s="56" t="s">
        <v>167</v>
      </c>
      <c r="C51" s="64" t="s">
        <v>109</v>
      </c>
      <c r="D51" s="11">
        <v>102</v>
      </c>
      <c r="E51" s="11">
        <v>113.55</v>
      </c>
      <c r="F51" s="11">
        <v>172</v>
      </c>
      <c r="G51" s="14">
        <f t="shared" si="133"/>
        <v>121.36666666666667</v>
      </c>
      <c r="H51" s="14">
        <f t="shared" si="134"/>
        <v>129.18333333333334</v>
      </c>
      <c r="I51" s="14">
        <f t="shared" si="135"/>
        <v>15.320470147993356</v>
      </c>
      <c r="J51" s="72">
        <f t="shared" si="136"/>
        <v>234.71680555555557</v>
      </c>
      <c r="K51" s="12"/>
      <c r="L51" s="13">
        <f t="shared" si="137"/>
        <v>127.5</v>
      </c>
      <c r="M51" s="14">
        <f t="shared" si="138"/>
        <v>141.9375</v>
      </c>
      <c r="N51" s="14">
        <f t="shared" si="139"/>
        <v>215</v>
      </c>
      <c r="O51" s="15">
        <f t="shared" si="140"/>
        <v>151.70833333333334</v>
      </c>
      <c r="P51" s="14">
        <f t="shared" si="141"/>
        <v>76.5</v>
      </c>
      <c r="Q51" s="14">
        <f t="shared" si="142"/>
        <v>85.162499999999994</v>
      </c>
      <c r="R51" s="14">
        <f t="shared" si="143"/>
        <v>129</v>
      </c>
      <c r="S51" s="16">
        <f t="shared" si="144"/>
        <v>91.024999999999991</v>
      </c>
      <c r="T51" s="17"/>
    </row>
    <row r="52" spans="1:20" x14ac:dyDescent="0.2">
      <c r="A52" s="67">
        <f>ROW() - 13</f>
        <v>39</v>
      </c>
      <c r="B52" s="56" t="s">
        <v>152</v>
      </c>
      <c r="C52" s="64" t="s">
        <v>109</v>
      </c>
      <c r="D52" s="11">
        <v>11.5</v>
      </c>
      <c r="E52" s="11">
        <v>12.9</v>
      </c>
      <c r="F52" s="11">
        <v>20</v>
      </c>
      <c r="G52" s="14">
        <f t="shared" si="109"/>
        <v>13.85</v>
      </c>
      <c r="H52" s="14">
        <f t="shared" si="110"/>
        <v>14.799999999999999</v>
      </c>
      <c r="I52" s="14">
        <f t="shared" si="111"/>
        <v>1.8605554726120548</v>
      </c>
      <c r="J52" s="72">
        <f t="shared" si="112"/>
        <v>3.4616666666666669</v>
      </c>
      <c r="K52" s="12"/>
      <c r="L52" s="13">
        <f t="shared" si="113"/>
        <v>14.375</v>
      </c>
      <c r="M52" s="14">
        <f t="shared" si="114"/>
        <v>16.125</v>
      </c>
      <c r="N52" s="14">
        <f t="shared" si="115"/>
        <v>25</v>
      </c>
      <c r="O52" s="15">
        <f t="shared" si="116"/>
        <v>17.3125</v>
      </c>
      <c r="P52" s="14">
        <f t="shared" si="117"/>
        <v>8.625</v>
      </c>
      <c r="Q52" s="14">
        <f t="shared" si="118"/>
        <v>9.6750000000000007</v>
      </c>
      <c r="R52" s="14">
        <f t="shared" si="119"/>
        <v>15</v>
      </c>
      <c r="S52" s="16">
        <f t="shared" si="120"/>
        <v>10.387500000000001</v>
      </c>
      <c r="T52" s="17"/>
    </row>
    <row r="53" spans="1:20" x14ac:dyDescent="0.2">
      <c r="A53" s="67">
        <f>ROW() - 13</f>
        <v>40</v>
      </c>
      <c r="B53" s="56"/>
      <c r="C53" s="64"/>
      <c r="D53" s="11"/>
      <c r="E53" s="11"/>
      <c r="F53" s="11"/>
      <c r="G53" s="14">
        <f t="shared" si="109"/>
        <v>0</v>
      </c>
      <c r="H53" s="14">
        <f t="shared" si="110"/>
        <v>0</v>
      </c>
      <c r="I53" s="14">
        <f t="shared" si="111"/>
        <v>0</v>
      </c>
      <c r="J53" s="72">
        <f t="shared" si="112"/>
        <v>0</v>
      </c>
      <c r="K53" s="12"/>
      <c r="L53" s="13">
        <f t="shared" si="113"/>
        <v>0</v>
      </c>
      <c r="M53" s="14">
        <f t="shared" si="114"/>
        <v>0</v>
      </c>
      <c r="N53" s="14">
        <f t="shared" si="115"/>
        <v>0</v>
      </c>
      <c r="O53" s="15">
        <f t="shared" si="116"/>
        <v>0</v>
      </c>
      <c r="P53" s="14">
        <f t="shared" si="117"/>
        <v>0</v>
      </c>
      <c r="Q53" s="14">
        <f t="shared" si="118"/>
        <v>0</v>
      </c>
      <c r="R53" s="14">
        <f t="shared" si="119"/>
        <v>0</v>
      </c>
      <c r="S53" s="16">
        <f t="shared" si="120"/>
        <v>0</v>
      </c>
      <c r="T53" s="17"/>
    </row>
    <row r="54" spans="1:20" x14ac:dyDescent="0.2">
      <c r="A54" s="67">
        <f>ROW() - 13</f>
        <v>41</v>
      </c>
      <c r="B54" s="54" t="s">
        <v>163</v>
      </c>
      <c r="C54" s="64"/>
      <c r="D54" s="11"/>
      <c r="E54" s="11"/>
      <c r="F54" s="11"/>
      <c r="G54" s="14">
        <f t="shared" ref="G54:G82" si="157">(D54+F54+(E54*4))/6</f>
        <v>0</v>
      </c>
      <c r="H54" s="14">
        <f t="shared" ref="H54:H82" si="158">(D54+E54+F54)/3</f>
        <v>0</v>
      </c>
      <c r="I54" s="14">
        <f t="shared" ref="I54:I82" si="159">SQRT(J54)</f>
        <v>0</v>
      </c>
      <c r="J54" s="72">
        <f t="shared" ref="J54:J82" si="160">(POWER(F54-D54,2)+(E54-D54)*(E54-F54))/18</f>
        <v>0</v>
      </c>
      <c r="K54" s="12"/>
      <c r="L54" s="13">
        <f t="shared" ref="L54:L82" si="161">D54*Green_Team_Productivity_Multiplier</f>
        <v>0</v>
      </c>
      <c r="M54" s="14">
        <f t="shared" ref="M54:M82" si="162">E54*Green_Team_Productivity_Multiplier</f>
        <v>0</v>
      </c>
      <c r="N54" s="14">
        <f t="shared" ref="N54:N82" si="163">F54*Green_Team_Productivity_Multiplier</f>
        <v>0</v>
      </c>
      <c r="O54" s="15">
        <f t="shared" ref="O54:O82" si="164">(N54+L54+(4*M54))/6</f>
        <v>0</v>
      </c>
      <c r="P54" s="14">
        <f t="shared" ref="P54:P82" si="165">D54*Expert_Team_Productivity_Multiplier</f>
        <v>0</v>
      </c>
      <c r="Q54" s="14">
        <f t="shared" ref="Q54:Q82" si="166">E54*Expert_Team_Productivity_Multiplier</f>
        <v>0</v>
      </c>
      <c r="R54" s="14">
        <f t="shared" ref="R54:R82" si="167">F54*Expert_Team_Productivity_Multiplier</f>
        <v>0</v>
      </c>
      <c r="S54" s="16">
        <f t="shared" ref="S54:S82" si="168">(R54+P54+(4*Q54))/6</f>
        <v>0</v>
      </c>
      <c r="T54" s="17"/>
    </row>
    <row r="55" spans="1:20" x14ac:dyDescent="0.2">
      <c r="A55" s="67">
        <f>ROW() - 13</f>
        <v>42</v>
      </c>
      <c r="B55" s="69" t="s">
        <v>155</v>
      </c>
      <c r="C55" s="64" t="s">
        <v>109</v>
      </c>
      <c r="D55" s="11">
        <v>3.5</v>
      </c>
      <c r="E55" s="11">
        <v>5</v>
      </c>
      <c r="F55" s="11">
        <v>8</v>
      </c>
      <c r="G55" s="14">
        <f t="shared" ref="G55" si="169">(D55+F55+(E55*4))/6</f>
        <v>5.25</v>
      </c>
      <c r="H55" s="14">
        <f t="shared" ref="H55" si="170">(D55+E55+F55)/3</f>
        <v>5.5</v>
      </c>
      <c r="I55" s="14">
        <f t="shared" ref="I55" si="171">SQRT(J55)</f>
        <v>0.93541434669348533</v>
      </c>
      <c r="J55" s="72">
        <f t="shared" ref="J55" si="172">(POWER(F55-D55,2)+(E55-D55)*(E55-F55))/18</f>
        <v>0.875</v>
      </c>
      <c r="K55" s="12"/>
      <c r="L55" s="13">
        <f t="shared" ref="L55" si="173">D55*Green_Team_Productivity_Multiplier</f>
        <v>4.375</v>
      </c>
      <c r="M55" s="14">
        <f t="shared" ref="M55" si="174">E55*Green_Team_Productivity_Multiplier</f>
        <v>6.25</v>
      </c>
      <c r="N55" s="14">
        <f t="shared" ref="N55" si="175">F55*Green_Team_Productivity_Multiplier</f>
        <v>10</v>
      </c>
      <c r="O55" s="15">
        <f t="shared" ref="O55" si="176">(N55+L55+(4*M55))/6</f>
        <v>6.5625</v>
      </c>
      <c r="P55" s="14">
        <f t="shared" ref="P55" si="177">D55*Expert_Team_Productivity_Multiplier</f>
        <v>2.625</v>
      </c>
      <c r="Q55" s="14">
        <f t="shared" ref="Q55" si="178">E55*Expert_Team_Productivity_Multiplier</f>
        <v>3.75</v>
      </c>
      <c r="R55" s="14">
        <f t="shared" ref="R55" si="179">F55*Expert_Team_Productivity_Multiplier</f>
        <v>6</v>
      </c>
      <c r="S55" s="16">
        <f t="shared" ref="S55" si="180">(R55+P55+(4*Q55))/6</f>
        <v>3.9375</v>
      </c>
      <c r="T55" s="17"/>
    </row>
    <row r="56" spans="1:20" x14ac:dyDescent="0.2">
      <c r="A56" s="67">
        <f>ROW() - 13</f>
        <v>43</v>
      </c>
      <c r="B56" s="69"/>
      <c r="C56" s="64"/>
      <c r="D56" s="11"/>
      <c r="E56" s="11"/>
      <c r="F56" s="11"/>
      <c r="G56" s="14">
        <f t="shared" si="157"/>
        <v>0</v>
      </c>
      <c r="H56" s="14">
        <f t="shared" si="158"/>
        <v>0</v>
      </c>
      <c r="I56" s="14">
        <f t="shared" si="159"/>
        <v>0</v>
      </c>
      <c r="J56" s="72">
        <f t="shared" si="160"/>
        <v>0</v>
      </c>
      <c r="K56" s="12"/>
      <c r="L56" s="13">
        <f t="shared" si="161"/>
        <v>0</v>
      </c>
      <c r="M56" s="14">
        <f t="shared" si="162"/>
        <v>0</v>
      </c>
      <c r="N56" s="14">
        <f t="shared" si="163"/>
        <v>0</v>
      </c>
      <c r="O56" s="15">
        <f t="shared" si="164"/>
        <v>0</v>
      </c>
      <c r="P56" s="14">
        <f t="shared" si="165"/>
        <v>0</v>
      </c>
      <c r="Q56" s="14">
        <f t="shared" si="166"/>
        <v>0</v>
      </c>
      <c r="R56" s="14">
        <f t="shared" si="167"/>
        <v>0</v>
      </c>
      <c r="S56" s="16">
        <f t="shared" si="168"/>
        <v>0</v>
      </c>
      <c r="T56" s="17"/>
    </row>
    <row r="57" spans="1:20" x14ac:dyDescent="0.2">
      <c r="A57" s="67">
        <f>ROW() - 13</f>
        <v>44</v>
      </c>
      <c r="B57" s="69" t="s">
        <v>156</v>
      </c>
      <c r="C57" s="64"/>
      <c r="D57" s="11"/>
      <c r="E57" s="11"/>
      <c r="F57" s="11"/>
      <c r="G57" s="14">
        <f t="shared" ref="G57" si="181">(D57+F57+(E57*4))/6</f>
        <v>0</v>
      </c>
      <c r="H57" s="14">
        <f t="shared" ref="H57" si="182">(D57+E57+F57)/3</f>
        <v>0</v>
      </c>
      <c r="I57" s="14">
        <f t="shared" ref="I57" si="183">SQRT(J57)</f>
        <v>0</v>
      </c>
      <c r="J57" s="72">
        <f t="shared" ref="J57" si="184">(POWER(F57-D57,2)+(E57-D57)*(E57-F57))/18</f>
        <v>0</v>
      </c>
      <c r="K57" s="12"/>
      <c r="L57" s="13">
        <f t="shared" ref="L57" si="185">D57*Green_Team_Productivity_Multiplier</f>
        <v>0</v>
      </c>
      <c r="M57" s="14">
        <f t="shared" ref="M57" si="186">E57*Green_Team_Productivity_Multiplier</f>
        <v>0</v>
      </c>
      <c r="N57" s="14">
        <f t="shared" ref="N57" si="187">F57*Green_Team_Productivity_Multiplier</f>
        <v>0</v>
      </c>
      <c r="O57" s="15">
        <f t="shared" ref="O57" si="188">(N57+L57+(4*M57))/6</f>
        <v>0</v>
      </c>
      <c r="P57" s="14">
        <f t="shared" ref="P57" si="189">D57*Expert_Team_Productivity_Multiplier</f>
        <v>0</v>
      </c>
      <c r="Q57" s="14">
        <f t="shared" ref="Q57" si="190">E57*Expert_Team_Productivity_Multiplier</f>
        <v>0</v>
      </c>
      <c r="R57" s="14">
        <f t="shared" ref="R57" si="191">F57*Expert_Team_Productivity_Multiplier</f>
        <v>0</v>
      </c>
      <c r="S57" s="16">
        <f t="shared" ref="S57" si="192">(R57+P57+(4*Q57))/6</f>
        <v>0</v>
      </c>
      <c r="T57" s="17"/>
    </row>
    <row r="58" spans="1:20" x14ac:dyDescent="0.2">
      <c r="A58" s="67">
        <f>ROW() - 13</f>
        <v>45</v>
      </c>
      <c r="B58" s="69" t="s">
        <v>157</v>
      </c>
      <c r="C58" s="64" t="s">
        <v>109</v>
      </c>
      <c r="D58" s="11">
        <v>18</v>
      </c>
      <c r="E58" s="11">
        <v>21.5</v>
      </c>
      <c r="F58" s="11">
        <v>32.5</v>
      </c>
      <c r="G58" s="14">
        <f t="shared" si="157"/>
        <v>22.75</v>
      </c>
      <c r="H58" s="14">
        <f t="shared" si="158"/>
        <v>24</v>
      </c>
      <c r="I58" s="14">
        <f t="shared" si="159"/>
        <v>3.0889588321417731</v>
      </c>
      <c r="J58" s="72">
        <f t="shared" si="160"/>
        <v>9.5416666666666661</v>
      </c>
      <c r="K58" s="12"/>
      <c r="L58" s="13">
        <f t="shared" si="161"/>
        <v>22.5</v>
      </c>
      <c r="M58" s="14">
        <f t="shared" si="162"/>
        <v>26.875</v>
      </c>
      <c r="N58" s="14">
        <f t="shared" si="163"/>
        <v>40.625</v>
      </c>
      <c r="O58" s="15">
        <f t="shared" si="164"/>
        <v>28.4375</v>
      </c>
      <c r="P58" s="14">
        <f t="shared" si="165"/>
        <v>13.5</v>
      </c>
      <c r="Q58" s="14">
        <f t="shared" si="166"/>
        <v>16.125</v>
      </c>
      <c r="R58" s="14">
        <f t="shared" si="167"/>
        <v>24.375</v>
      </c>
      <c r="S58" s="16">
        <f t="shared" si="168"/>
        <v>17.0625</v>
      </c>
      <c r="T58" s="17"/>
    </row>
    <row r="59" spans="1:20" x14ac:dyDescent="0.2">
      <c r="A59" s="67">
        <f>ROW() - 13</f>
        <v>46</v>
      </c>
      <c r="B59" s="69" t="s">
        <v>158</v>
      </c>
      <c r="C59" s="64" t="s">
        <v>109</v>
      </c>
      <c r="D59" s="11">
        <v>1.5</v>
      </c>
      <c r="E59" s="11">
        <v>2.1</v>
      </c>
      <c r="F59" s="11">
        <v>3.5</v>
      </c>
      <c r="G59" s="14">
        <f t="shared" si="157"/>
        <v>2.2333333333333334</v>
      </c>
      <c r="H59" s="14">
        <f t="shared" si="158"/>
        <v>2.3666666666666667</v>
      </c>
      <c r="I59" s="14">
        <f t="shared" si="159"/>
        <v>0.41899350299921784</v>
      </c>
      <c r="J59" s="72">
        <f t="shared" si="160"/>
        <v>0.17555555555555558</v>
      </c>
      <c r="K59" s="12"/>
      <c r="L59" s="13">
        <f t="shared" si="161"/>
        <v>1.875</v>
      </c>
      <c r="M59" s="14">
        <f t="shared" si="162"/>
        <v>2.625</v>
      </c>
      <c r="N59" s="14">
        <f t="shared" si="163"/>
        <v>4.375</v>
      </c>
      <c r="O59" s="15">
        <f t="shared" si="164"/>
        <v>2.7916666666666665</v>
      </c>
      <c r="P59" s="14">
        <f t="shared" si="165"/>
        <v>1.125</v>
      </c>
      <c r="Q59" s="14">
        <f t="shared" si="166"/>
        <v>1.5750000000000002</v>
      </c>
      <c r="R59" s="14">
        <f t="shared" si="167"/>
        <v>2.625</v>
      </c>
      <c r="S59" s="16">
        <f t="shared" si="168"/>
        <v>1.675</v>
      </c>
      <c r="T59" s="17"/>
    </row>
    <row r="60" spans="1:20" x14ac:dyDescent="0.2">
      <c r="A60" s="67">
        <f>ROW() - 13</f>
        <v>47</v>
      </c>
      <c r="B60" s="69"/>
      <c r="C60" s="64"/>
      <c r="D60" s="11"/>
      <c r="E60" s="11"/>
      <c r="F60" s="11"/>
      <c r="G60" s="14">
        <f t="shared" ref="G60" si="193">(D60+F60+(E60*4))/6</f>
        <v>0</v>
      </c>
      <c r="H60" s="14">
        <f t="shared" ref="H60" si="194">(D60+E60+F60)/3</f>
        <v>0</v>
      </c>
      <c r="I60" s="14">
        <f t="shared" ref="I60" si="195">SQRT(J60)</f>
        <v>0</v>
      </c>
      <c r="J60" s="72">
        <f t="shared" ref="J60" si="196">(POWER(F60-D60,2)+(E60-D60)*(E60-F60))/18</f>
        <v>0</v>
      </c>
      <c r="K60" s="12"/>
      <c r="L60" s="13">
        <f t="shared" ref="L60" si="197">D60*Green_Team_Productivity_Multiplier</f>
        <v>0</v>
      </c>
      <c r="M60" s="14">
        <f t="shared" ref="M60" si="198">E60*Green_Team_Productivity_Multiplier</f>
        <v>0</v>
      </c>
      <c r="N60" s="14">
        <f t="shared" ref="N60" si="199">F60*Green_Team_Productivity_Multiplier</f>
        <v>0</v>
      </c>
      <c r="O60" s="15">
        <f t="shared" ref="O60" si="200">(N60+L60+(4*M60))/6</f>
        <v>0</v>
      </c>
      <c r="P60" s="14">
        <f t="shared" ref="P60" si="201">D60*Expert_Team_Productivity_Multiplier</f>
        <v>0</v>
      </c>
      <c r="Q60" s="14">
        <f t="shared" ref="Q60" si="202">E60*Expert_Team_Productivity_Multiplier</f>
        <v>0</v>
      </c>
      <c r="R60" s="14">
        <f t="shared" ref="R60" si="203">F60*Expert_Team_Productivity_Multiplier</f>
        <v>0</v>
      </c>
      <c r="S60" s="16">
        <f t="shared" ref="S60" si="204">(R60+P60+(4*Q60))/6</f>
        <v>0</v>
      </c>
      <c r="T60" s="17"/>
    </row>
    <row r="61" spans="1:20" x14ac:dyDescent="0.2">
      <c r="A61" s="67">
        <f>ROW() - 13</f>
        <v>48</v>
      </c>
      <c r="B61" s="69" t="s">
        <v>159</v>
      </c>
      <c r="C61" s="64"/>
      <c r="D61" s="11"/>
      <c r="E61" s="11"/>
      <c r="F61" s="11"/>
      <c r="G61" s="14">
        <f t="shared" si="157"/>
        <v>0</v>
      </c>
      <c r="H61" s="14">
        <f t="shared" si="158"/>
        <v>0</v>
      </c>
      <c r="I61" s="14">
        <f t="shared" si="159"/>
        <v>0</v>
      </c>
      <c r="J61" s="72">
        <f t="shared" si="160"/>
        <v>0</v>
      </c>
      <c r="K61" s="12"/>
      <c r="L61" s="13">
        <f t="shared" si="161"/>
        <v>0</v>
      </c>
      <c r="M61" s="14">
        <f t="shared" si="162"/>
        <v>0</v>
      </c>
      <c r="N61" s="14">
        <f t="shared" si="163"/>
        <v>0</v>
      </c>
      <c r="O61" s="15">
        <f t="shared" si="164"/>
        <v>0</v>
      </c>
      <c r="P61" s="14">
        <f t="shared" si="165"/>
        <v>0</v>
      </c>
      <c r="Q61" s="14">
        <f t="shared" si="166"/>
        <v>0</v>
      </c>
      <c r="R61" s="14">
        <f t="shared" si="167"/>
        <v>0</v>
      </c>
      <c r="S61" s="16">
        <f t="shared" si="168"/>
        <v>0</v>
      </c>
      <c r="T61" s="17"/>
    </row>
    <row r="62" spans="1:20" x14ac:dyDescent="0.2">
      <c r="A62" s="67">
        <f>ROW() - 13</f>
        <v>49</v>
      </c>
      <c r="B62" s="69" t="s">
        <v>160</v>
      </c>
      <c r="C62" s="64" t="s">
        <v>109</v>
      </c>
      <c r="D62" s="11">
        <v>20</v>
      </c>
      <c r="E62" s="11">
        <v>22.63</v>
      </c>
      <c r="F62" s="11">
        <v>34</v>
      </c>
      <c r="G62" s="14">
        <f t="shared" ref="G62" si="205">(D62+F62+(E62*4))/6</f>
        <v>24.086666666666662</v>
      </c>
      <c r="H62" s="14">
        <f t="shared" ref="H62" si="206">(D62+E62+F62)/3</f>
        <v>25.543333333333333</v>
      </c>
      <c r="I62" s="14">
        <f t="shared" ref="I62" si="207">SQRT(J62)</f>
        <v>3.0376974101374143</v>
      </c>
      <c r="J62" s="72">
        <f t="shared" ref="J62" si="208">(POWER(F62-D62,2)+(E62-D62)*(E62-F62))/18</f>
        <v>9.2276055555555558</v>
      </c>
      <c r="K62" s="12"/>
      <c r="L62" s="13">
        <f t="shared" ref="L62" si="209">D62*Green_Team_Productivity_Multiplier</f>
        <v>25</v>
      </c>
      <c r="M62" s="14">
        <f t="shared" ref="M62" si="210">E62*Green_Team_Productivity_Multiplier</f>
        <v>28.287499999999998</v>
      </c>
      <c r="N62" s="14">
        <f t="shared" ref="N62" si="211">F62*Green_Team_Productivity_Multiplier</f>
        <v>42.5</v>
      </c>
      <c r="O62" s="15">
        <f t="shared" ref="O62" si="212">(N62+L62+(4*M62))/6</f>
        <v>30.108333333333331</v>
      </c>
      <c r="P62" s="14">
        <f t="shared" ref="P62" si="213">D62*Expert_Team_Productivity_Multiplier</f>
        <v>15</v>
      </c>
      <c r="Q62" s="14">
        <f t="shared" ref="Q62" si="214">E62*Expert_Team_Productivity_Multiplier</f>
        <v>16.9725</v>
      </c>
      <c r="R62" s="14">
        <f t="shared" ref="R62" si="215">F62*Expert_Team_Productivity_Multiplier</f>
        <v>25.5</v>
      </c>
      <c r="S62" s="16">
        <f t="shared" ref="S62" si="216">(R62+P62+(4*Q62))/6</f>
        <v>18.065000000000001</v>
      </c>
      <c r="T62" s="17"/>
    </row>
    <row r="63" spans="1:20" x14ac:dyDescent="0.2">
      <c r="A63" s="67">
        <f>ROW() - 13</f>
        <v>50</v>
      </c>
      <c r="B63" s="69"/>
      <c r="C63" s="64"/>
      <c r="D63" s="11"/>
      <c r="E63" s="11"/>
      <c r="F63" s="11"/>
      <c r="G63" s="14">
        <f t="shared" si="157"/>
        <v>0</v>
      </c>
      <c r="H63" s="14">
        <f t="shared" si="158"/>
        <v>0</v>
      </c>
      <c r="I63" s="14">
        <f t="shared" si="159"/>
        <v>0</v>
      </c>
      <c r="J63" s="72">
        <f t="shared" si="160"/>
        <v>0</v>
      </c>
      <c r="K63" s="12"/>
      <c r="L63" s="13">
        <f t="shared" si="161"/>
        <v>0</v>
      </c>
      <c r="M63" s="14">
        <f t="shared" si="162"/>
        <v>0</v>
      </c>
      <c r="N63" s="14">
        <f t="shared" si="163"/>
        <v>0</v>
      </c>
      <c r="O63" s="15">
        <f t="shared" si="164"/>
        <v>0</v>
      </c>
      <c r="P63" s="14">
        <f t="shared" si="165"/>
        <v>0</v>
      </c>
      <c r="Q63" s="14">
        <f t="shared" si="166"/>
        <v>0</v>
      </c>
      <c r="R63" s="14">
        <f t="shared" si="167"/>
        <v>0</v>
      </c>
      <c r="S63" s="16">
        <f t="shared" si="168"/>
        <v>0</v>
      </c>
      <c r="T63" s="17"/>
    </row>
    <row r="64" spans="1:20" x14ac:dyDescent="0.2">
      <c r="A64" s="67">
        <f>ROW() - 13</f>
        <v>51</v>
      </c>
      <c r="B64" s="69" t="s">
        <v>161</v>
      </c>
      <c r="C64" s="64"/>
      <c r="D64" s="11"/>
      <c r="E64" s="11"/>
      <c r="F64" s="11"/>
      <c r="G64" s="14">
        <f t="shared" ref="G64:G79" si="217">(D64+F64+(E64*4))/6</f>
        <v>0</v>
      </c>
      <c r="H64" s="14">
        <f t="shared" ref="H64:H79" si="218">(D64+E64+F64)/3</f>
        <v>0</v>
      </c>
      <c r="I64" s="14">
        <f t="shared" ref="I64:I79" si="219">SQRT(J64)</f>
        <v>0</v>
      </c>
      <c r="J64" s="72">
        <f t="shared" ref="J64:J79" si="220">(POWER(F64-D64,2)+(E64-D64)*(E64-F64))/18</f>
        <v>0</v>
      </c>
      <c r="K64" s="12"/>
      <c r="L64" s="13">
        <f t="shared" ref="L64:L79" si="221">D64*Green_Team_Productivity_Multiplier</f>
        <v>0</v>
      </c>
      <c r="M64" s="14">
        <f t="shared" ref="M64:M79" si="222">E64*Green_Team_Productivity_Multiplier</f>
        <v>0</v>
      </c>
      <c r="N64" s="14">
        <f t="shared" ref="N64:N79" si="223">F64*Green_Team_Productivity_Multiplier</f>
        <v>0</v>
      </c>
      <c r="O64" s="15">
        <f t="shared" ref="O64:O79" si="224">(N64+L64+(4*M64))/6</f>
        <v>0</v>
      </c>
      <c r="P64" s="14">
        <f t="shared" ref="P64:P79" si="225">D64*Expert_Team_Productivity_Multiplier</f>
        <v>0</v>
      </c>
      <c r="Q64" s="14">
        <f t="shared" ref="Q64:Q79" si="226">E64*Expert_Team_Productivity_Multiplier</f>
        <v>0</v>
      </c>
      <c r="R64" s="14">
        <f t="shared" ref="R64:R79" si="227">F64*Expert_Team_Productivity_Multiplier</f>
        <v>0</v>
      </c>
      <c r="S64" s="16">
        <f t="shared" ref="S64:S79" si="228">(R64+P64+(4*Q64))/6</f>
        <v>0</v>
      </c>
      <c r="T64" s="17"/>
    </row>
    <row r="65" spans="1:20" x14ac:dyDescent="0.2">
      <c r="A65" s="67">
        <f>ROW() - 13</f>
        <v>52</v>
      </c>
      <c r="B65" s="69" t="s">
        <v>160</v>
      </c>
      <c r="C65" s="64" t="s">
        <v>109</v>
      </c>
      <c r="D65" s="11">
        <v>5</v>
      </c>
      <c r="E65" s="11">
        <v>6</v>
      </c>
      <c r="F65" s="11">
        <v>9</v>
      </c>
      <c r="G65" s="14">
        <f t="shared" si="217"/>
        <v>6.333333333333333</v>
      </c>
      <c r="H65" s="14">
        <f t="shared" si="218"/>
        <v>6.666666666666667</v>
      </c>
      <c r="I65" s="14">
        <f t="shared" si="219"/>
        <v>0.84983658559879749</v>
      </c>
      <c r="J65" s="72">
        <f t="shared" si="220"/>
        <v>0.72222222222222221</v>
      </c>
      <c r="K65" s="12"/>
      <c r="L65" s="13">
        <f t="shared" si="221"/>
        <v>6.25</v>
      </c>
      <c r="M65" s="14">
        <f t="shared" si="222"/>
        <v>7.5</v>
      </c>
      <c r="N65" s="14">
        <f t="shared" si="223"/>
        <v>11.25</v>
      </c>
      <c r="O65" s="15">
        <f t="shared" si="224"/>
        <v>7.916666666666667</v>
      </c>
      <c r="P65" s="14">
        <f t="shared" si="225"/>
        <v>3.75</v>
      </c>
      <c r="Q65" s="14">
        <f t="shared" si="226"/>
        <v>4.5</v>
      </c>
      <c r="R65" s="14">
        <f t="shared" si="227"/>
        <v>6.75</v>
      </c>
      <c r="S65" s="16">
        <f t="shared" si="228"/>
        <v>4.75</v>
      </c>
      <c r="T65" s="17"/>
    </row>
    <row r="66" spans="1:20" x14ac:dyDescent="0.2">
      <c r="A66" s="67">
        <f>ROW() - 13</f>
        <v>53</v>
      </c>
      <c r="B66" s="69" t="s">
        <v>178</v>
      </c>
      <c r="C66" s="64" t="s">
        <v>109</v>
      </c>
      <c r="D66" s="11">
        <v>11.5</v>
      </c>
      <c r="E66" s="11">
        <v>12.9</v>
      </c>
      <c r="F66" s="11">
        <v>20</v>
      </c>
      <c r="G66" s="14">
        <f t="shared" si="217"/>
        <v>13.85</v>
      </c>
      <c r="H66" s="14">
        <f t="shared" si="218"/>
        <v>14.799999999999999</v>
      </c>
      <c r="I66" s="14">
        <f t="shared" si="219"/>
        <v>1.8605554726120548</v>
      </c>
      <c r="J66" s="72">
        <f t="shared" si="220"/>
        <v>3.4616666666666669</v>
      </c>
      <c r="K66" s="12"/>
      <c r="L66" s="13">
        <f t="shared" si="221"/>
        <v>14.375</v>
      </c>
      <c r="M66" s="14">
        <f t="shared" si="222"/>
        <v>16.125</v>
      </c>
      <c r="N66" s="14">
        <f t="shared" si="223"/>
        <v>25</v>
      </c>
      <c r="O66" s="15">
        <f t="shared" si="224"/>
        <v>17.3125</v>
      </c>
      <c r="P66" s="14">
        <f t="shared" si="225"/>
        <v>8.625</v>
      </c>
      <c r="Q66" s="14">
        <f t="shared" si="226"/>
        <v>9.6750000000000007</v>
      </c>
      <c r="R66" s="14">
        <f t="shared" si="227"/>
        <v>15</v>
      </c>
      <c r="S66" s="16">
        <f t="shared" si="228"/>
        <v>10.387500000000001</v>
      </c>
      <c r="T66" s="17"/>
    </row>
    <row r="67" spans="1:20" x14ac:dyDescent="0.2">
      <c r="A67" s="67">
        <f>ROW() - 13</f>
        <v>54</v>
      </c>
      <c r="B67" s="69"/>
      <c r="C67" s="64"/>
      <c r="D67" s="11"/>
      <c r="E67" s="11"/>
      <c r="F67" s="11"/>
      <c r="G67" s="14">
        <f t="shared" ref="G67" si="229">(D67+F67+(E67*4))/6</f>
        <v>0</v>
      </c>
      <c r="H67" s="14">
        <f t="shared" ref="H67" si="230">(D67+E67+F67)/3</f>
        <v>0</v>
      </c>
      <c r="I67" s="14">
        <f t="shared" ref="I67" si="231">SQRT(J67)</f>
        <v>0</v>
      </c>
      <c r="J67" s="72">
        <f t="shared" ref="J67" si="232">(POWER(F67-D67,2)+(E67-D67)*(E67-F67))/18</f>
        <v>0</v>
      </c>
      <c r="K67" s="12"/>
      <c r="L67" s="13">
        <f t="shared" ref="L67" si="233">D67*Green_Team_Productivity_Multiplier</f>
        <v>0</v>
      </c>
      <c r="M67" s="14">
        <f t="shared" ref="M67" si="234">E67*Green_Team_Productivity_Multiplier</f>
        <v>0</v>
      </c>
      <c r="N67" s="14">
        <f t="shared" ref="N67" si="235">F67*Green_Team_Productivity_Multiplier</f>
        <v>0</v>
      </c>
      <c r="O67" s="15">
        <f t="shared" ref="O67" si="236">(N67+L67+(4*M67))/6</f>
        <v>0</v>
      </c>
      <c r="P67" s="14">
        <f t="shared" ref="P67" si="237">D67*Expert_Team_Productivity_Multiplier</f>
        <v>0</v>
      </c>
      <c r="Q67" s="14">
        <f t="shared" ref="Q67" si="238">E67*Expert_Team_Productivity_Multiplier</f>
        <v>0</v>
      </c>
      <c r="R67" s="14">
        <f t="shared" ref="R67" si="239">F67*Expert_Team_Productivity_Multiplier</f>
        <v>0</v>
      </c>
      <c r="S67" s="16">
        <f t="shared" ref="S67" si="240">(R67+P67+(4*Q67))/6</f>
        <v>0</v>
      </c>
      <c r="T67" s="17"/>
    </row>
    <row r="68" spans="1:20" x14ac:dyDescent="0.2">
      <c r="A68" s="67">
        <f>ROW() - 13</f>
        <v>55</v>
      </c>
      <c r="B68" s="69" t="s">
        <v>164</v>
      </c>
      <c r="C68" s="64"/>
      <c r="D68" s="11"/>
      <c r="E68" s="11"/>
      <c r="F68" s="11"/>
      <c r="G68" s="14">
        <f t="shared" si="217"/>
        <v>0</v>
      </c>
      <c r="H68" s="14">
        <f t="shared" si="218"/>
        <v>0</v>
      </c>
      <c r="I68" s="14">
        <f t="shared" si="219"/>
        <v>0</v>
      </c>
      <c r="J68" s="72">
        <f t="shared" si="220"/>
        <v>0</v>
      </c>
      <c r="K68" s="12"/>
      <c r="L68" s="13">
        <f t="shared" si="221"/>
        <v>0</v>
      </c>
      <c r="M68" s="14">
        <f t="shared" si="222"/>
        <v>0</v>
      </c>
      <c r="N68" s="14">
        <f t="shared" si="223"/>
        <v>0</v>
      </c>
      <c r="O68" s="15">
        <f t="shared" si="224"/>
        <v>0</v>
      </c>
      <c r="P68" s="14">
        <f t="shared" si="225"/>
        <v>0</v>
      </c>
      <c r="Q68" s="14">
        <f t="shared" si="226"/>
        <v>0</v>
      </c>
      <c r="R68" s="14">
        <f t="shared" si="227"/>
        <v>0</v>
      </c>
      <c r="S68" s="16">
        <f t="shared" si="228"/>
        <v>0</v>
      </c>
      <c r="T68" s="17"/>
    </row>
    <row r="69" spans="1:20" x14ac:dyDescent="0.2">
      <c r="A69" s="67">
        <f>ROW() - 13</f>
        <v>56</v>
      </c>
      <c r="B69" s="69" t="s">
        <v>165</v>
      </c>
      <c r="C69" s="64"/>
      <c r="D69" s="11"/>
      <c r="E69" s="11"/>
      <c r="F69" s="11"/>
      <c r="G69" s="14">
        <f t="shared" si="217"/>
        <v>0</v>
      </c>
      <c r="H69" s="14">
        <f t="shared" si="218"/>
        <v>0</v>
      </c>
      <c r="I69" s="14">
        <f t="shared" si="219"/>
        <v>0</v>
      </c>
      <c r="J69" s="72">
        <f t="shared" si="220"/>
        <v>0</v>
      </c>
      <c r="K69" s="12"/>
      <c r="L69" s="13">
        <f t="shared" si="221"/>
        <v>0</v>
      </c>
      <c r="M69" s="14">
        <f t="shared" si="222"/>
        <v>0</v>
      </c>
      <c r="N69" s="14">
        <f t="shared" si="223"/>
        <v>0</v>
      </c>
      <c r="O69" s="15">
        <f t="shared" si="224"/>
        <v>0</v>
      </c>
      <c r="P69" s="14">
        <f t="shared" si="225"/>
        <v>0</v>
      </c>
      <c r="Q69" s="14">
        <f t="shared" si="226"/>
        <v>0</v>
      </c>
      <c r="R69" s="14">
        <f t="shared" si="227"/>
        <v>0</v>
      </c>
      <c r="S69" s="16">
        <f t="shared" si="228"/>
        <v>0</v>
      </c>
      <c r="T69" s="17"/>
    </row>
    <row r="70" spans="1:20" x14ac:dyDescent="0.2">
      <c r="A70" s="67">
        <f>ROW() - 13</f>
        <v>57</v>
      </c>
      <c r="B70" s="55" t="s">
        <v>143</v>
      </c>
      <c r="C70" s="64" t="s">
        <v>109</v>
      </c>
      <c r="D70" s="11">
        <v>6</v>
      </c>
      <c r="E70" s="11">
        <v>7</v>
      </c>
      <c r="F70" s="11">
        <v>10.5</v>
      </c>
      <c r="G70" s="14">
        <f t="shared" ref="G70:G76" si="241">(D70+F70+(E70*4))/6</f>
        <v>7.416666666666667</v>
      </c>
      <c r="H70" s="14">
        <f t="shared" ref="H70:H76" si="242">(D70+E70+F70)/3</f>
        <v>7.833333333333333</v>
      </c>
      <c r="I70" s="14">
        <f t="shared" ref="I70:I76" si="243">SQRT(J70)</f>
        <v>0.96465307523251875</v>
      </c>
      <c r="J70" s="72">
        <f t="shared" ref="J70:J76" si="244">(POWER(F70-D70,2)+(E70-D70)*(E70-F70))/18</f>
        <v>0.93055555555555558</v>
      </c>
      <c r="K70" s="12"/>
      <c r="L70" s="13">
        <f t="shared" ref="L70:L76" si="245">D70*Green_Team_Productivity_Multiplier</f>
        <v>7.5</v>
      </c>
      <c r="M70" s="14">
        <f t="shared" ref="M70:M76" si="246">E70*Green_Team_Productivity_Multiplier</f>
        <v>8.75</v>
      </c>
      <c r="N70" s="14">
        <f t="shared" ref="N70:N76" si="247">F70*Green_Team_Productivity_Multiplier</f>
        <v>13.125</v>
      </c>
      <c r="O70" s="15">
        <f t="shared" ref="O70:O76" si="248">(N70+L70+(4*M70))/6</f>
        <v>9.2708333333333339</v>
      </c>
      <c r="P70" s="14">
        <f t="shared" ref="P70:P76" si="249">D70*Expert_Team_Productivity_Multiplier</f>
        <v>4.5</v>
      </c>
      <c r="Q70" s="14">
        <f t="shared" ref="Q70:Q76" si="250">E70*Expert_Team_Productivity_Multiplier</f>
        <v>5.25</v>
      </c>
      <c r="R70" s="14">
        <f t="shared" ref="R70:R76" si="251">F70*Expert_Team_Productivity_Multiplier</f>
        <v>7.875</v>
      </c>
      <c r="S70" s="16">
        <f t="shared" ref="S70:S76" si="252">(R70+P70+(4*Q70))/6</f>
        <v>5.5625</v>
      </c>
      <c r="T70" s="17"/>
    </row>
    <row r="71" spans="1:20" x14ac:dyDescent="0.2">
      <c r="A71" s="67">
        <f>ROW() - 13</f>
        <v>58</v>
      </c>
      <c r="B71" s="55" t="s">
        <v>144</v>
      </c>
      <c r="C71" s="64" t="s">
        <v>109</v>
      </c>
      <c r="D71" s="11">
        <v>15</v>
      </c>
      <c r="E71" s="11">
        <v>16.670000000000002</v>
      </c>
      <c r="F71" s="11">
        <v>25.5</v>
      </c>
      <c r="G71" s="14">
        <f t="shared" ref="G71" si="253">(D71+F71+(E71*4))/6</f>
        <v>17.863333333333333</v>
      </c>
      <c r="H71" s="14">
        <f t="shared" ref="H71" si="254">(D71+E71+F71)/3</f>
        <v>19.056666666666668</v>
      </c>
      <c r="I71" s="14">
        <f t="shared" ref="I71" si="255">SQRT(J71)</f>
        <v>2.3034261920500558</v>
      </c>
      <c r="J71" s="72">
        <f t="shared" ref="J71" si="256">(POWER(F71-D71,2)+(E71-D71)*(E71-F71))/18</f>
        <v>5.3057722222222212</v>
      </c>
      <c r="K71" s="12"/>
      <c r="L71" s="13">
        <f t="shared" ref="L71" si="257">D71*Green_Team_Productivity_Multiplier</f>
        <v>18.75</v>
      </c>
      <c r="M71" s="14">
        <f t="shared" ref="M71" si="258">E71*Green_Team_Productivity_Multiplier</f>
        <v>20.837500000000002</v>
      </c>
      <c r="N71" s="14">
        <f t="shared" ref="N71" si="259">F71*Green_Team_Productivity_Multiplier</f>
        <v>31.875</v>
      </c>
      <c r="O71" s="15">
        <f t="shared" ref="O71" si="260">(N71+L71+(4*M71))/6</f>
        <v>22.329166666666669</v>
      </c>
      <c r="P71" s="14">
        <f t="shared" ref="P71" si="261">D71*Expert_Team_Productivity_Multiplier</f>
        <v>11.25</v>
      </c>
      <c r="Q71" s="14">
        <f t="shared" ref="Q71" si="262">E71*Expert_Team_Productivity_Multiplier</f>
        <v>12.502500000000001</v>
      </c>
      <c r="R71" s="14">
        <f t="shared" ref="R71" si="263">F71*Expert_Team_Productivity_Multiplier</f>
        <v>19.125</v>
      </c>
      <c r="S71" s="16">
        <f t="shared" ref="S71" si="264">(R71+P71+(4*Q71))/6</f>
        <v>13.397500000000001</v>
      </c>
      <c r="T71" s="17"/>
    </row>
    <row r="72" spans="1:20" x14ac:dyDescent="0.2">
      <c r="A72" s="67">
        <f>ROW() - 13</f>
        <v>59</v>
      </c>
      <c r="B72" s="55" t="s">
        <v>145</v>
      </c>
      <c r="C72" s="64" t="s">
        <v>109</v>
      </c>
      <c r="D72" s="11">
        <v>15</v>
      </c>
      <c r="E72" s="11">
        <v>16.670000000000002</v>
      </c>
      <c r="F72" s="11">
        <v>25.5</v>
      </c>
      <c r="G72" s="14">
        <f t="shared" si="241"/>
        <v>17.863333333333333</v>
      </c>
      <c r="H72" s="14">
        <f t="shared" si="242"/>
        <v>19.056666666666668</v>
      </c>
      <c r="I72" s="14">
        <f t="shared" si="243"/>
        <v>2.3034261920500558</v>
      </c>
      <c r="J72" s="72">
        <f t="shared" si="244"/>
        <v>5.3057722222222212</v>
      </c>
      <c r="K72" s="12"/>
      <c r="L72" s="13">
        <f t="shared" si="245"/>
        <v>18.75</v>
      </c>
      <c r="M72" s="14">
        <f t="shared" si="246"/>
        <v>20.837500000000002</v>
      </c>
      <c r="N72" s="14">
        <f t="shared" si="247"/>
        <v>31.875</v>
      </c>
      <c r="O72" s="15">
        <f t="shared" si="248"/>
        <v>22.329166666666669</v>
      </c>
      <c r="P72" s="14">
        <f t="shared" si="249"/>
        <v>11.25</v>
      </c>
      <c r="Q72" s="14">
        <f t="shared" si="250"/>
        <v>12.502500000000001</v>
      </c>
      <c r="R72" s="14">
        <f t="shared" si="251"/>
        <v>19.125</v>
      </c>
      <c r="S72" s="16">
        <f t="shared" si="252"/>
        <v>13.397500000000001</v>
      </c>
      <c r="T72" s="17"/>
    </row>
    <row r="73" spans="1:20" x14ac:dyDescent="0.2">
      <c r="A73" s="67">
        <f>ROW() - 13</f>
        <v>60</v>
      </c>
      <c r="B73" s="55" t="s">
        <v>146</v>
      </c>
      <c r="C73" s="64" t="s">
        <v>109</v>
      </c>
      <c r="D73" s="11">
        <v>15</v>
      </c>
      <c r="E73" s="11">
        <v>16.670000000000002</v>
      </c>
      <c r="F73" s="11">
        <v>25.5</v>
      </c>
      <c r="G73" s="14">
        <f t="shared" ref="G73" si="265">(D73+F73+(E73*4))/6</f>
        <v>17.863333333333333</v>
      </c>
      <c r="H73" s="14">
        <f t="shared" ref="H73" si="266">(D73+E73+F73)/3</f>
        <v>19.056666666666668</v>
      </c>
      <c r="I73" s="14">
        <f t="shared" ref="I73" si="267">SQRT(J73)</f>
        <v>2.3034261920500558</v>
      </c>
      <c r="J73" s="72">
        <f t="shared" ref="J73" si="268">(POWER(F73-D73,2)+(E73-D73)*(E73-F73))/18</f>
        <v>5.3057722222222212</v>
      </c>
      <c r="K73" s="12"/>
      <c r="L73" s="13">
        <f t="shared" ref="L73" si="269">D73*Green_Team_Productivity_Multiplier</f>
        <v>18.75</v>
      </c>
      <c r="M73" s="14">
        <f t="shared" ref="M73" si="270">E73*Green_Team_Productivity_Multiplier</f>
        <v>20.837500000000002</v>
      </c>
      <c r="N73" s="14">
        <f t="shared" ref="N73" si="271">F73*Green_Team_Productivity_Multiplier</f>
        <v>31.875</v>
      </c>
      <c r="O73" s="15">
        <f t="shared" ref="O73" si="272">(N73+L73+(4*M73))/6</f>
        <v>22.329166666666669</v>
      </c>
      <c r="P73" s="14">
        <f t="shared" ref="P73" si="273">D73*Expert_Team_Productivity_Multiplier</f>
        <v>11.25</v>
      </c>
      <c r="Q73" s="14">
        <f t="shared" ref="Q73" si="274">E73*Expert_Team_Productivity_Multiplier</f>
        <v>12.502500000000001</v>
      </c>
      <c r="R73" s="14">
        <f t="shared" ref="R73" si="275">F73*Expert_Team_Productivity_Multiplier</f>
        <v>19.125</v>
      </c>
      <c r="S73" s="16">
        <f t="shared" ref="S73" si="276">(R73+P73+(4*Q73))/6</f>
        <v>13.397500000000001</v>
      </c>
      <c r="T73" s="17"/>
    </row>
    <row r="74" spans="1:20" x14ac:dyDescent="0.2">
      <c r="A74" s="67">
        <f>ROW() - 13</f>
        <v>61</v>
      </c>
      <c r="B74" s="55" t="s">
        <v>147</v>
      </c>
      <c r="C74" s="64" t="s">
        <v>109</v>
      </c>
      <c r="D74" s="11">
        <v>47.5</v>
      </c>
      <c r="E74" s="11">
        <v>53.33</v>
      </c>
      <c r="F74" s="11">
        <v>80</v>
      </c>
      <c r="G74" s="14">
        <f t="shared" si="241"/>
        <v>56.803333333333335</v>
      </c>
      <c r="H74" s="14">
        <f t="shared" si="242"/>
        <v>60.276666666666664</v>
      </c>
      <c r="I74" s="14">
        <f t="shared" si="243"/>
        <v>7.0740680579768869</v>
      </c>
      <c r="J74" s="72">
        <f t="shared" si="244"/>
        <v>50.042438888888888</v>
      </c>
      <c r="K74" s="12"/>
      <c r="L74" s="13">
        <f t="shared" si="245"/>
        <v>59.375</v>
      </c>
      <c r="M74" s="14">
        <f t="shared" si="246"/>
        <v>66.662499999999994</v>
      </c>
      <c r="N74" s="14">
        <f t="shared" si="247"/>
        <v>100</v>
      </c>
      <c r="O74" s="15">
        <f t="shared" si="248"/>
        <v>71.004166666666663</v>
      </c>
      <c r="P74" s="14">
        <f t="shared" si="249"/>
        <v>35.625</v>
      </c>
      <c r="Q74" s="14">
        <f t="shared" si="250"/>
        <v>39.997500000000002</v>
      </c>
      <c r="R74" s="14">
        <f t="shared" si="251"/>
        <v>60</v>
      </c>
      <c r="S74" s="16">
        <f t="shared" si="252"/>
        <v>42.602499999999999</v>
      </c>
      <c r="T74" s="17"/>
    </row>
    <row r="75" spans="1:20" x14ac:dyDescent="0.2">
      <c r="A75" s="67">
        <f>ROW() - 13</f>
        <v>62</v>
      </c>
      <c r="B75" s="55" t="s">
        <v>148</v>
      </c>
      <c r="C75" s="64" t="s">
        <v>109</v>
      </c>
      <c r="D75" s="11">
        <v>47.5</v>
      </c>
      <c r="E75" s="11">
        <v>53.33</v>
      </c>
      <c r="F75" s="11">
        <v>80</v>
      </c>
      <c r="G75" s="14">
        <f t="shared" ref="G75" si="277">(D75+F75+(E75*4))/6</f>
        <v>56.803333333333335</v>
      </c>
      <c r="H75" s="14">
        <f t="shared" ref="H75" si="278">(D75+E75+F75)/3</f>
        <v>60.276666666666664</v>
      </c>
      <c r="I75" s="14">
        <f t="shared" ref="I75" si="279">SQRT(J75)</f>
        <v>7.0740680579768869</v>
      </c>
      <c r="J75" s="72">
        <f t="shared" ref="J75" si="280">(POWER(F75-D75,2)+(E75-D75)*(E75-F75))/18</f>
        <v>50.042438888888888</v>
      </c>
      <c r="K75" s="12"/>
      <c r="L75" s="13">
        <f t="shared" ref="L75" si="281">D75*Green_Team_Productivity_Multiplier</f>
        <v>59.375</v>
      </c>
      <c r="M75" s="14">
        <f t="shared" ref="M75" si="282">E75*Green_Team_Productivity_Multiplier</f>
        <v>66.662499999999994</v>
      </c>
      <c r="N75" s="14">
        <f t="shared" ref="N75" si="283">F75*Green_Team_Productivity_Multiplier</f>
        <v>100</v>
      </c>
      <c r="O75" s="15">
        <f t="shared" ref="O75" si="284">(N75+L75+(4*M75))/6</f>
        <v>71.004166666666663</v>
      </c>
      <c r="P75" s="14">
        <f t="shared" ref="P75" si="285">D75*Expert_Team_Productivity_Multiplier</f>
        <v>35.625</v>
      </c>
      <c r="Q75" s="14">
        <f t="shared" ref="Q75" si="286">E75*Expert_Team_Productivity_Multiplier</f>
        <v>39.997500000000002</v>
      </c>
      <c r="R75" s="14">
        <f t="shared" ref="R75" si="287">F75*Expert_Team_Productivity_Multiplier</f>
        <v>60</v>
      </c>
      <c r="S75" s="16">
        <f t="shared" ref="S75" si="288">(R75+P75+(4*Q75))/6</f>
        <v>42.602499999999999</v>
      </c>
      <c r="T75" s="17"/>
    </row>
    <row r="76" spans="1:20" x14ac:dyDescent="0.2">
      <c r="A76" s="67">
        <f>ROW() - 13</f>
        <v>63</v>
      </c>
      <c r="B76" s="55" t="s">
        <v>149</v>
      </c>
      <c r="C76" s="64" t="s">
        <v>109</v>
      </c>
      <c r="D76" s="11">
        <v>47.5</v>
      </c>
      <c r="E76" s="11">
        <v>53.33</v>
      </c>
      <c r="F76" s="11">
        <v>80</v>
      </c>
      <c r="G76" s="14">
        <f t="shared" si="241"/>
        <v>56.803333333333335</v>
      </c>
      <c r="H76" s="14">
        <f t="shared" si="242"/>
        <v>60.276666666666664</v>
      </c>
      <c r="I76" s="14">
        <f t="shared" si="243"/>
        <v>7.0740680579768869</v>
      </c>
      <c r="J76" s="72">
        <f t="shared" si="244"/>
        <v>50.042438888888888</v>
      </c>
      <c r="K76" s="12"/>
      <c r="L76" s="13">
        <f t="shared" si="245"/>
        <v>59.375</v>
      </c>
      <c r="M76" s="14">
        <f t="shared" si="246"/>
        <v>66.662499999999994</v>
      </c>
      <c r="N76" s="14">
        <f t="shared" si="247"/>
        <v>100</v>
      </c>
      <c r="O76" s="15">
        <f t="shared" si="248"/>
        <v>71.004166666666663</v>
      </c>
      <c r="P76" s="14">
        <f t="shared" si="249"/>
        <v>35.625</v>
      </c>
      <c r="Q76" s="14">
        <f t="shared" si="250"/>
        <v>39.997500000000002</v>
      </c>
      <c r="R76" s="14">
        <f t="shared" si="251"/>
        <v>60</v>
      </c>
      <c r="S76" s="16">
        <f t="shared" si="252"/>
        <v>42.602499999999999</v>
      </c>
      <c r="T76" s="17"/>
    </row>
    <row r="77" spans="1:20" x14ac:dyDescent="0.2">
      <c r="A77" s="67">
        <f>ROW() - 13</f>
        <v>64</v>
      </c>
      <c r="B77" s="56" t="s">
        <v>136</v>
      </c>
      <c r="C77" s="64" t="s">
        <v>109</v>
      </c>
      <c r="D77" s="11">
        <v>20</v>
      </c>
      <c r="E77" s="11">
        <v>22.63</v>
      </c>
      <c r="F77" s="11">
        <v>34</v>
      </c>
      <c r="G77" s="14">
        <f t="shared" si="217"/>
        <v>24.086666666666662</v>
      </c>
      <c r="H77" s="14">
        <f t="shared" si="218"/>
        <v>25.543333333333333</v>
      </c>
      <c r="I77" s="14">
        <f t="shared" si="219"/>
        <v>3.0376974101374143</v>
      </c>
      <c r="J77" s="72">
        <f t="shared" si="220"/>
        <v>9.2276055555555558</v>
      </c>
      <c r="K77" s="12"/>
      <c r="L77" s="13">
        <f t="shared" si="221"/>
        <v>25</v>
      </c>
      <c r="M77" s="14">
        <f t="shared" si="222"/>
        <v>28.287499999999998</v>
      </c>
      <c r="N77" s="14">
        <f t="shared" si="223"/>
        <v>42.5</v>
      </c>
      <c r="O77" s="15">
        <f t="shared" si="224"/>
        <v>30.108333333333331</v>
      </c>
      <c r="P77" s="14">
        <f t="shared" si="225"/>
        <v>15</v>
      </c>
      <c r="Q77" s="14">
        <f t="shared" si="226"/>
        <v>16.9725</v>
      </c>
      <c r="R77" s="14">
        <f t="shared" si="227"/>
        <v>25.5</v>
      </c>
      <c r="S77" s="16">
        <f t="shared" si="228"/>
        <v>18.065000000000001</v>
      </c>
      <c r="T77" s="17"/>
    </row>
    <row r="78" spans="1:20" x14ac:dyDescent="0.2">
      <c r="A78" s="67">
        <f>ROW() - 13</f>
        <v>65</v>
      </c>
      <c r="B78" s="56"/>
      <c r="C78" s="64"/>
      <c r="D78" s="11"/>
      <c r="E78" s="11"/>
      <c r="F78" s="11"/>
      <c r="G78" s="14">
        <f t="shared" ref="G78" si="289">(D78+F78+(E78*4))/6</f>
        <v>0</v>
      </c>
      <c r="H78" s="14">
        <f t="shared" ref="H78" si="290">(D78+E78+F78)/3</f>
        <v>0</v>
      </c>
      <c r="I78" s="14">
        <f t="shared" ref="I78" si="291">SQRT(J78)</f>
        <v>0</v>
      </c>
      <c r="J78" s="72">
        <f t="shared" ref="J78" si="292">(POWER(F78-D78,2)+(E78-D78)*(E78-F78))/18</f>
        <v>0</v>
      </c>
      <c r="K78" s="12"/>
      <c r="L78" s="13">
        <f t="shared" ref="L78" si="293">D78*Green_Team_Productivity_Multiplier</f>
        <v>0</v>
      </c>
      <c r="M78" s="14">
        <f t="shared" ref="M78" si="294">E78*Green_Team_Productivity_Multiplier</f>
        <v>0</v>
      </c>
      <c r="N78" s="14">
        <f t="shared" ref="N78" si="295">F78*Green_Team_Productivity_Multiplier</f>
        <v>0</v>
      </c>
      <c r="O78" s="15">
        <f t="shared" ref="O78" si="296">(N78+L78+(4*M78))/6</f>
        <v>0</v>
      </c>
      <c r="P78" s="14">
        <f t="shared" ref="P78" si="297">D78*Expert_Team_Productivity_Multiplier</f>
        <v>0</v>
      </c>
      <c r="Q78" s="14">
        <f t="shared" ref="Q78" si="298">E78*Expert_Team_Productivity_Multiplier</f>
        <v>0</v>
      </c>
      <c r="R78" s="14">
        <f t="shared" ref="R78" si="299">F78*Expert_Team_Productivity_Multiplier</f>
        <v>0</v>
      </c>
      <c r="S78" s="16">
        <f t="shared" ref="S78" si="300">(R78+P78+(4*Q78))/6</f>
        <v>0</v>
      </c>
      <c r="T78" s="17"/>
    </row>
    <row r="79" spans="1:20" x14ac:dyDescent="0.2">
      <c r="A79" s="67">
        <f>ROW() - 13</f>
        <v>66</v>
      </c>
      <c r="B79" s="69" t="s">
        <v>166</v>
      </c>
      <c r="C79" s="64"/>
      <c r="D79" s="11"/>
      <c r="E79" s="11"/>
      <c r="F79" s="11"/>
      <c r="G79" s="14">
        <f t="shared" si="217"/>
        <v>0</v>
      </c>
      <c r="H79" s="14">
        <f t="shared" si="218"/>
        <v>0</v>
      </c>
      <c r="I79" s="14">
        <f t="shared" si="219"/>
        <v>0</v>
      </c>
      <c r="J79" s="72">
        <f t="shared" si="220"/>
        <v>0</v>
      </c>
      <c r="K79" s="12"/>
      <c r="L79" s="13">
        <f t="shared" si="221"/>
        <v>0</v>
      </c>
      <c r="M79" s="14">
        <f t="shared" si="222"/>
        <v>0</v>
      </c>
      <c r="N79" s="14">
        <f t="shared" si="223"/>
        <v>0</v>
      </c>
      <c r="O79" s="15">
        <f t="shared" si="224"/>
        <v>0</v>
      </c>
      <c r="P79" s="14">
        <f t="shared" si="225"/>
        <v>0</v>
      </c>
      <c r="Q79" s="14">
        <f t="shared" si="226"/>
        <v>0</v>
      </c>
      <c r="R79" s="14">
        <f t="shared" si="227"/>
        <v>0</v>
      </c>
      <c r="S79" s="16">
        <f t="shared" si="228"/>
        <v>0</v>
      </c>
      <c r="T79" s="17"/>
    </row>
    <row r="80" spans="1:20" x14ac:dyDescent="0.2">
      <c r="A80" s="67">
        <f>ROW() - 13</f>
        <v>67</v>
      </c>
      <c r="B80" s="69" t="s">
        <v>162</v>
      </c>
      <c r="C80" s="64" t="s">
        <v>109</v>
      </c>
      <c r="D80" s="11">
        <v>36</v>
      </c>
      <c r="E80" s="11">
        <v>40</v>
      </c>
      <c r="F80" s="11">
        <v>60</v>
      </c>
      <c r="G80" s="14">
        <f t="shared" si="157"/>
        <v>42.666666666666664</v>
      </c>
      <c r="H80" s="14">
        <f t="shared" si="158"/>
        <v>45.333333333333336</v>
      </c>
      <c r="I80" s="14">
        <f t="shared" si="159"/>
        <v>5.2493385826745405</v>
      </c>
      <c r="J80" s="72">
        <f t="shared" si="160"/>
        <v>27.555555555555557</v>
      </c>
      <c r="K80" s="12"/>
      <c r="L80" s="13">
        <f t="shared" si="161"/>
        <v>45</v>
      </c>
      <c r="M80" s="14">
        <f t="shared" si="162"/>
        <v>50</v>
      </c>
      <c r="N80" s="14">
        <f t="shared" si="163"/>
        <v>75</v>
      </c>
      <c r="O80" s="15">
        <f t="shared" si="164"/>
        <v>53.333333333333336</v>
      </c>
      <c r="P80" s="14">
        <f t="shared" si="165"/>
        <v>27</v>
      </c>
      <c r="Q80" s="14">
        <f t="shared" si="166"/>
        <v>30</v>
      </c>
      <c r="R80" s="14">
        <f t="shared" si="167"/>
        <v>45</v>
      </c>
      <c r="S80" s="16">
        <f t="shared" si="168"/>
        <v>32</v>
      </c>
      <c r="T80" s="17"/>
    </row>
    <row r="81" spans="1:20" x14ac:dyDescent="0.2">
      <c r="A81" s="67">
        <f>ROW() - 13</f>
        <v>68</v>
      </c>
      <c r="B81" s="56" t="s">
        <v>150</v>
      </c>
      <c r="C81" s="64" t="s">
        <v>109</v>
      </c>
      <c r="D81" s="11">
        <v>7</v>
      </c>
      <c r="E81" s="11">
        <v>8.33</v>
      </c>
      <c r="F81" s="11">
        <v>12.5</v>
      </c>
      <c r="G81" s="14">
        <f t="shared" ref="G81" si="301">(D81+F81+(E81*4))/6</f>
        <v>8.8033333333333328</v>
      </c>
      <c r="H81" s="14">
        <f t="shared" ref="H81" si="302">(D81+E81+F81)/3</f>
        <v>9.2766666666666655</v>
      </c>
      <c r="I81" s="14">
        <f t="shared" ref="I81" si="303">SQRT(J81)</f>
        <v>1.1715113695090156</v>
      </c>
      <c r="J81" s="72">
        <f t="shared" ref="J81" si="304">(POWER(F81-D81,2)+(E81-D81)*(E81-F81))/18</f>
        <v>1.372438888888889</v>
      </c>
      <c r="K81" s="12"/>
      <c r="L81" s="13">
        <f t="shared" ref="L81" si="305">D81*Green_Team_Productivity_Multiplier</f>
        <v>8.75</v>
      </c>
      <c r="M81" s="14">
        <f t="shared" ref="M81" si="306">E81*Green_Team_Productivity_Multiplier</f>
        <v>10.4125</v>
      </c>
      <c r="N81" s="14">
        <f t="shared" ref="N81" si="307">F81*Green_Team_Productivity_Multiplier</f>
        <v>15.625</v>
      </c>
      <c r="O81" s="15">
        <f t="shared" ref="O81" si="308">(N81+L81+(4*M81))/6</f>
        <v>11.004166666666668</v>
      </c>
      <c r="P81" s="14">
        <f t="shared" ref="P81" si="309">D81*Expert_Team_Productivity_Multiplier</f>
        <v>5.25</v>
      </c>
      <c r="Q81" s="14">
        <f t="shared" ref="Q81" si="310">E81*Expert_Team_Productivity_Multiplier</f>
        <v>6.2475000000000005</v>
      </c>
      <c r="R81" s="14">
        <f t="shared" ref="R81" si="311">F81*Expert_Team_Productivity_Multiplier</f>
        <v>9.375</v>
      </c>
      <c r="S81" s="16">
        <f t="shared" ref="S81" si="312">(R81+P81+(4*Q81))/6</f>
        <v>6.6025</v>
      </c>
      <c r="T81" s="17"/>
    </row>
    <row r="82" spans="1:20" x14ac:dyDescent="0.2">
      <c r="A82" s="67">
        <f>ROW() - 13</f>
        <v>69</v>
      </c>
      <c r="B82" s="56" t="s">
        <v>151</v>
      </c>
      <c r="C82" s="64" t="s">
        <v>109</v>
      </c>
      <c r="D82" s="11">
        <v>10.5</v>
      </c>
      <c r="E82" s="11">
        <v>11.67</v>
      </c>
      <c r="F82" s="11">
        <v>18</v>
      </c>
      <c r="G82" s="14">
        <f t="shared" si="157"/>
        <v>12.530000000000001</v>
      </c>
      <c r="H82" s="14">
        <f t="shared" si="158"/>
        <v>13.39</v>
      </c>
      <c r="I82" s="14">
        <f t="shared" si="159"/>
        <v>1.6472856461464114</v>
      </c>
      <c r="J82" s="72">
        <f t="shared" si="160"/>
        <v>2.7135499999999997</v>
      </c>
      <c r="K82" s="12"/>
      <c r="L82" s="13">
        <f t="shared" si="161"/>
        <v>13.125</v>
      </c>
      <c r="M82" s="14">
        <f t="shared" si="162"/>
        <v>14.5875</v>
      </c>
      <c r="N82" s="14">
        <f t="shared" si="163"/>
        <v>22.5</v>
      </c>
      <c r="O82" s="15">
        <f t="shared" si="164"/>
        <v>15.6625</v>
      </c>
      <c r="P82" s="14">
        <f t="shared" si="165"/>
        <v>7.875</v>
      </c>
      <c r="Q82" s="14">
        <f t="shared" si="166"/>
        <v>8.7524999999999995</v>
      </c>
      <c r="R82" s="14">
        <f t="shared" si="167"/>
        <v>13.5</v>
      </c>
      <c r="S82" s="16">
        <f t="shared" si="168"/>
        <v>9.3974999999999991</v>
      </c>
      <c r="T82" s="17"/>
    </row>
    <row r="83" spans="1:20" x14ac:dyDescent="0.2">
      <c r="A83" s="67">
        <f>ROW() - 13</f>
        <v>70</v>
      </c>
      <c r="B83" s="56" t="s">
        <v>152</v>
      </c>
      <c r="C83" s="64" t="s">
        <v>109</v>
      </c>
      <c r="D83" s="11">
        <v>5</v>
      </c>
      <c r="E83" s="11">
        <v>6</v>
      </c>
      <c r="F83" s="11">
        <v>9</v>
      </c>
      <c r="G83" s="14">
        <f t="shared" ref="G83" si="313">(D83+F83+(E83*4))/6</f>
        <v>6.333333333333333</v>
      </c>
      <c r="H83" s="14">
        <f t="shared" ref="H83" si="314">(D83+E83+F83)/3</f>
        <v>6.666666666666667</v>
      </c>
      <c r="I83" s="14">
        <f t="shared" ref="I83" si="315">SQRT(J83)</f>
        <v>0.84983658559879749</v>
      </c>
      <c r="J83" s="72">
        <f t="shared" ref="J83" si="316">(POWER(F83-D83,2)+(E83-D83)*(E83-F83))/18</f>
        <v>0.72222222222222221</v>
      </c>
      <c r="K83" s="12"/>
      <c r="L83" s="13">
        <f t="shared" ref="L83" si="317">D83*Green_Team_Productivity_Multiplier</f>
        <v>6.25</v>
      </c>
      <c r="M83" s="14">
        <f t="shared" ref="M83" si="318">E83*Green_Team_Productivity_Multiplier</f>
        <v>7.5</v>
      </c>
      <c r="N83" s="14">
        <f t="shared" ref="N83" si="319">F83*Green_Team_Productivity_Multiplier</f>
        <v>11.25</v>
      </c>
      <c r="O83" s="15">
        <f t="shared" ref="O83" si="320">(N83+L83+(4*M83))/6</f>
        <v>7.916666666666667</v>
      </c>
      <c r="P83" s="14">
        <f t="shared" ref="P83" si="321">D83*Expert_Team_Productivity_Multiplier</f>
        <v>3.75</v>
      </c>
      <c r="Q83" s="14">
        <f t="shared" ref="Q83" si="322">E83*Expert_Team_Productivity_Multiplier</f>
        <v>4.5</v>
      </c>
      <c r="R83" s="14">
        <f t="shared" ref="R83" si="323">F83*Expert_Team_Productivity_Multiplier</f>
        <v>6.75</v>
      </c>
      <c r="S83" s="16">
        <f t="shared" ref="S83" si="324">(R83+P83+(4*Q83))/6</f>
        <v>4.75</v>
      </c>
      <c r="T83" s="17"/>
    </row>
    <row r="84" spans="1:20" x14ac:dyDescent="0.2">
      <c r="A84" s="67">
        <f>ROW() - 13</f>
        <v>71</v>
      </c>
      <c r="B84" s="56"/>
      <c r="C84" s="64"/>
      <c r="D84" s="11"/>
      <c r="E84" s="11"/>
      <c r="F84" s="11"/>
      <c r="G84" s="14">
        <f t="shared" ref="G84" si="325">(D84+F84+(E84*4))/6</f>
        <v>0</v>
      </c>
      <c r="H84" s="14">
        <f t="shared" ref="H84" si="326">(D84+E84+F84)/3</f>
        <v>0</v>
      </c>
      <c r="I84" s="14">
        <f t="shared" ref="I84" si="327">SQRT(J84)</f>
        <v>0</v>
      </c>
      <c r="J84" s="72">
        <f t="shared" ref="J84" si="328">(POWER(F84-D84,2)+(E84-D84)*(E84-F84))/18</f>
        <v>0</v>
      </c>
      <c r="K84" s="12"/>
      <c r="L84" s="13">
        <f t="shared" ref="L84" si="329">D84*Green_Team_Productivity_Multiplier</f>
        <v>0</v>
      </c>
      <c r="M84" s="14">
        <f t="shared" ref="M84" si="330">E84*Green_Team_Productivity_Multiplier</f>
        <v>0</v>
      </c>
      <c r="N84" s="14">
        <f t="shared" ref="N84" si="331">F84*Green_Team_Productivity_Multiplier</f>
        <v>0</v>
      </c>
      <c r="O84" s="15">
        <f t="shared" ref="O84" si="332">(N84+L84+(4*M84))/6</f>
        <v>0</v>
      </c>
      <c r="P84" s="14">
        <f t="shared" ref="P84" si="333">D84*Expert_Team_Productivity_Multiplier</f>
        <v>0</v>
      </c>
      <c r="Q84" s="14">
        <f t="shared" ref="Q84" si="334">E84*Expert_Team_Productivity_Multiplier</f>
        <v>0</v>
      </c>
      <c r="R84" s="14">
        <f t="shared" ref="R84" si="335">F84*Expert_Team_Productivity_Multiplier</f>
        <v>0</v>
      </c>
      <c r="S84" s="16">
        <f t="shared" ref="S84" si="336">(R84+P84+(4*Q84))/6</f>
        <v>0</v>
      </c>
      <c r="T84" s="17"/>
    </row>
    <row r="85" spans="1:20" x14ac:dyDescent="0.2">
      <c r="A85" s="67">
        <f>ROW() - 13</f>
        <v>72</v>
      </c>
      <c r="B85" s="56" t="s">
        <v>182</v>
      </c>
      <c r="C85" s="64" t="s">
        <v>109</v>
      </c>
      <c r="D85" s="11">
        <v>152</v>
      </c>
      <c r="E85" s="11">
        <v>168.92</v>
      </c>
      <c r="F85" s="11">
        <v>254</v>
      </c>
      <c r="G85" s="14">
        <f t="shared" ref="G85" si="337">(D85+F85+(E85*4))/6</f>
        <v>180.27999999999997</v>
      </c>
      <c r="H85" s="14">
        <f t="shared" ref="H85" si="338">(D85+E85+F85)/3</f>
        <v>191.64</v>
      </c>
      <c r="I85" s="14">
        <f t="shared" ref="I85" si="339">SQRT(J85)</f>
        <v>22.316469254790285</v>
      </c>
      <c r="J85" s="72">
        <f t="shared" ref="J85" si="340">(POWER(F85-D85,2)+(E85-D85)*(E85-F85))/18</f>
        <v>498.02480000000003</v>
      </c>
      <c r="K85" s="12"/>
      <c r="L85" s="13">
        <f t="shared" ref="L85" si="341">D85*Green_Team_Productivity_Multiplier</f>
        <v>190</v>
      </c>
      <c r="M85" s="14">
        <f t="shared" ref="M85" si="342">E85*Green_Team_Productivity_Multiplier</f>
        <v>211.14999999999998</v>
      </c>
      <c r="N85" s="14">
        <f t="shared" ref="N85" si="343">F85*Green_Team_Productivity_Multiplier</f>
        <v>317.5</v>
      </c>
      <c r="O85" s="15">
        <f t="shared" ref="O85" si="344">(N85+L85+(4*M85))/6</f>
        <v>225.35</v>
      </c>
      <c r="P85" s="14">
        <f t="shared" ref="P85" si="345">D85*Expert_Team_Productivity_Multiplier</f>
        <v>114</v>
      </c>
      <c r="Q85" s="14">
        <f t="shared" ref="Q85" si="346">E85*Expert_Team_Productivity_Multiplier</f>
        <v>126.69</v>
      </c>
      <c r="R85" s="14">
        <f t="shared" ref="R85" si="347">F85*Expert_Team_Productivity_Multiplier</f>
        <v>190.5</v>
      </c>
      <c r="S85" s="16">
        <f t="shared" ref="S85" si="348">(R85+P85+(4*Q85))/6</f>
        <v>135.21</v>
      </c>
      <c r="T85" s="17"/>
    </row>
    <row r="86" spans="1:20" x14ac:dyDescent="0.2">
      <c r="A86" s="67">
        <f>ROW() - 13</f>
        <v>73</v>
      </c>
      <c r="B86" s="56" t="s">
        <v>152</v>
      </c>
      <c r="C86" s="64" t="s">
        <v>109</v>
      </c>
      <c r="D86" s="11">
        <v>15</v>
      </c>
      <c r="E86" s="11">
        <v>16.89</v>
      </c>
      <c r="F86" s="11">
        <v>25.5</v>
      </c>
      <c r="G86" s="14">
        <f t="shared" ref="G86" si="349">(D86+F86+(E86*4))/6</f>
        <v>18.010000000000002</v>
      </c>
      <c r="H86" s="14">
        <f t="shared" ref="H86" si="350">(D86+E86+F86)/3</f>
        <v>19.13</v>
      </c>
      <c r="I86" s="14">
        <f t="shared" ref="I86" si="351">SQRT(J86)</f>
        <v>2.2849398241529251</v>
      </c>
      <c r="J86" s="72">
        <f t="shared" ref="J86" si="352">(POWER(F86-D86,2)+(E86-D86)*(E86-F86))/18</f>
        <v>5.2209499999999993</v>
      </c>
      <c r="K86" s="12"/>
      <c r="L86" s="13">
        <f t="shared" ref="L86" si="353">D86*Green_Team_Productivity_Multiplier</f>
        <v>18.75</v>
      </c>
      <c r="M86" s="14">
        <f t="shared" ref="M86" si="354">E86*Green_Team_Productivity_Multiplier</f>
        <v>21.112500000000001</v>
      </c>
      <c r="N86" s="14">
        <f t="shared" ref="N86" si="355">F86*Green_Team_Productivity_Multiplier</f>
        <v>31.875</v>
      </c>
      <c r="O86" s="15">
        <f t="shared" ref="O86" si="356">(N86+L86+(4*M86))/6</f>
        <v>22.512499999999999</v>
      </c>
      <c r="P86" s="14">
        <f t="shared" ref="P86" si="357">D86*Expert_Team_Productivity_Multiplier</f>
        <v>11.25</v>
      </c>
      <c r="Q86" s="14">
        <f t="shared" ref="Q86" si="358">E86*Expert_Team_Productivity_Multiplier</f>
        <v>12.6675</v>
      </c>
      <c r="R86" s="14">
        <f t="shared" ref="R86" si="359">F86*Expert_Team_Productivity_Multiplier</f>
        <v>19.125</v>
      </c>
      <c r="S86" s="16">
        <f t="shared" ref="S86" si="360">(R86+P86+(4*Q86))/6</f>
        <v>13.5075</v>
      </c>
      <c r="T86" s="17"/>
    </row>
    <row r="87" spans="1:20" x14ac:dyDescent="0.2">
      <c r="A87" s="67">
        <f>ROW() - 13</f>
        <v>74</v>
      </c>
      <c r="B87" s="56"/>
      <c r="C87" s="64"/>
      <c r="D87" s="11"/>
      <c r="E87" s="11"/>
      <c r="F87" s="11"/>
      <c r="G87" s="14">
        <f t="shared" si="109"/>
        <v>0</v>
      </c>
      <c r="H87" s="14">
        <f t="shared" si="110"/>
        <v>0</v>
      </c>
      <c r="I87" s="14">
        <f t="shared" si="111"/>
        <v>0</v>
      </c>
      <c r="J87" s="72">
        <f t="shared" si="112"/>
        <v>0</v>
      </c>
      <c r="K87" s="12"/>
      <c r="L87" s="13">
        <f t="shared" si="113"/>
        <v>0</v>
      </c>
      <c r="M87" s="14">
        <f t="shared" si="114"/>
        <v>0</v>
      </c>
      <c r="N87" s="14">
        <f t="shared" si="115"/>
        <v>0</v>
      </c>
      <c r="O87" s="15">
        <f t="shared" si="116"/>
        <v>0</v>
      </c>
      <c r="P87" s="14">
        <f t="shared" si="117"/>
        <v>0</v>
      </c>
      <c r="Q87" s="14">
        <f t="shared" si="118"/>
        <v>0</v>
      </c>
      <c r="R87" s="14">
        <f t="shared" si="119"/>
        <v>0</v>
      </c>
      <c r="S87" s="16">
        <f t="shared" si="120"/>
        <v>0</v>
      </c>
      <c r="T87" s="17"/>
    </row>
    <row r="88" spans="1:20" x14ac:dyDescent="0.2">
      <c r="A88" s="67">
        <f>ROW() - 13</f>
        <v>75</v>
      </c>
      <c r="B88" s="53" t="s">
        <v>168</v>
      </c>
      <c r="C88" s="64"/>
      <c r="D88" s="11"/>
      <c r="E88" s="11"/>
      <c r="F88" s="11"/>
      <c r="G88" s="14">
        <f t="shared" ref="G88" si="361">(D88+F88+(E88*4))/6</f>
        <v>0</v>
      </c>
      <c r="H88" s="14">
        <f t="shared" ref="H88" si="362">(D88+E88+F88)/3</f>
        <v>0</v>
      </c>
      <c r="I88" s="14">
        <f t="shared" ref="I88" si="363">SQRT(J88)</f>
        <v>0</v>
      </c>
      <c r="J88" s="72">
        <f t="shared" ref="J88" si="364">(POWER(F88-D88,2)+(E88-D88)*(E88-F88))/18</f>
        <v>0</v>
      </c>
      <c r="K88" s="12"/>
      <c r="L88" s="13">
        <f t="shared" ref="L88" si="365">D88*Green_Team_Productivity_Multiplier</f>
        <v>0</v>
      </c>
      <c r="M88" s="14">
        <f t="shared" ref="M88" si="366">E88*Green_Team_Productivity_Multiplier</f>
        <v>0</v>
      </c>
      <c r="N88" s="14">
        <f t="shared" ref="N88" si="367">F88*Green_Team_Productivity_Multiplier</f>
        <v>0</v>
      </c>
      <c r="O88" s="15">
        <f t="shared" ref="O88" si="368">(N88+L88+(4*M88))/6</f>
        <v>0</v>
      </c>
      <c r="P88" s="14">
        <f t="shared" ref="P88" si="369">D88*Expert_Team_Productivity_Multiplier</f>
        <v>0</v>
      </c>
      <c r="Q88" s="14">
        <f t="shared" ref="Q88" si="370">E88*Expert_Team_Productivity_Multiplier</f>
        <v>0</v>
      </c>
      <c r="R88" s="14">
        <f t="shared" ref="R88" si="371">F88*Expert_Team_Productivity_Multiplier</f>
        <v>0</v>
      </c>
      <c r="S88" s="16">
        <f t="shared" ref="S88" si="372">(R88+P88+(4*Q88))/6</f>
        <v>0</v>
      </c>
      <c r="T88" s="17"/>
    </row>
    <row r="89" spans="1:20" x14ac:dyDescent="0.2">
      <c r="A89" s="67">
        <f>ROW() - 13</f>
        <v>76</v>
      </c>
      <c r="B89" s="54" t="s">
        <v>51</v>
      </c>
      <c r="C89" s="64"/>
      <c r="D89" s="11"/>
      <c r="E89" s="11"/>
      <c r="F89" s="11"/>
      <c r="G89" s="14">
        <f t="shared" si="109"/>
        <v>0</v>
      </c>
      <c r="H89" s="14">
        <f t="shared" si="110"/>
        <v>0</v>
      </c>
      <c r="I89" s="14">
        <f t="shared" si="111"/>
        <v>0</v>
      </c>
      <c r="J89" s="72">
        <f t="shared" si="112"/>
        <v>0</v>
      </c>
      <c r="K89" s="12"/>
      <c r="L89" s="13">
        <f t="shared" si="113"/>
        <v>0</v>
      </c>
      <c r="M89" s="14">
        <f t="shared" si="114"/>
        <v>0</v>
      </c>
      <c r="N89" s="14">
        <f t="shared" si="115"/>
        <v>0</v>
      </c>
      <c r="O89" s="15">
        <f t="shared" si="116"/>
        <v>0</v>
      </c>
      <c r="P89" s="14">
        <f t="shared" si="117"/>
        <v>0</v>
      </c>
      <c r="Q89" s="14">
        <f t="shared" si="118"/>
        <v>0</v>
      </c>
      <c r="R89" s="14">
        <f t="shared" si="119"/>
        <v>0</v>
      </c>
      <c r="S89" s="16">
        <f t="shared" si="120"/>
        <v>0</v>
      </c>
      <c r="T89" s="17"/>
    </row>
    <row r="90" spans="1:20" x14ac:dyDescent="0.2">
      <c r="A90" s="67">
        <f>ROW() - 13</f>
        <v>77</v>
      </c>
      <c r="B90" s="55" t="s">
        <v>169</v>
      </c>
      <c r="C90" s="64" t="s">
        <v>109</v>
      </c>
      <c r="D90" s="11">
        <v>2.5</v>
      </c>
      <c r="E90" s="11">
        <v>3.5</v>
      </c>
      <c r="F90" s="11">
        <v>6</v>
      </c>
      <c r="G90" s="14">
        <f t="shared" ref="G90" si="373">(D90+F90+(E90*4))/6</f>
        <v>3.75</v>
      </c>
      <c r="H90" s="14">
        <f t="shared" ref="H90" si="374">(D90+E90+F90)/3</f>
        <v>4</v>
      </c>
      <c r="I90" s="14">
        <f t="shared" ref="I90" si="375">SQRT(J90)</f>
        <v>0.7359800721939872</v>
      </c>
      <c r="J90" s="72">
        <f t="shared" ref="J90" si="376">(POWER(F90-D90,2)+(E90-D90)*(E90-F90))/18</f>
        <v>0.54166666666666663</v>
      </c>
      <c r="K90" s="12"/>
      <c r="L90" s="13">
        <f t="shared" ref="L90" si="377">D90*Green_Team_Productivity_Multiplier</f>
        <v>3.125</v>
      </c>
      <c r="M90" s="14">
        <f t="shared" ref="M90" si="378">E90*Green_Team_Productivity_Multiplier</f>
        <v>4.375</v>
      </c>
      <c r="N90" s="14">
        <f t="shared" ref="N90" si="379">F90*Green_Team_Productivity_Multiplier</f>
        <v>7.5</v>
      </c>
      <c r="O90" s="15">
        <f t="shared" ref="O90" si="380">(N90+L90+(4*M90))/6</f>
        <v>4.6875</v>
      </c>
      <c r="P90" s="14">
        <f t="shared" ref="P90" si="381">D90*Expert_Team_Productivity_Multiplier</f>
        <v>1.875</v>
      </c>
      <c r="Q90" s="14">
        <f t="shared" ref="Q90" si="382">E90*Expert_Team_Productivity_Multiplier</f>
        <v>2.625</v>
      </c>
      <c r="R90" s="14">
        <f t="shared" ref="R90" si="383">F90*Expert_Team_Productivity_Multiplier</f>
        <v>4.5</v>
      </c>
      <c r="S90" s="16">
        <f t="shared" ref="S90" si="384">(R90+P90+(4*Q90))/6</f>
        <v>2.8125</v>
      </c>
      <c r="T90" s="17"/>
    </row>
    <row r="91" spans="1:20" x14ac:dyDescent="0.2">
      <c r="A91" s="67">
        <f>ROW() - 13</f>
        <v>78</v>
      </c>
      <c r="B91" s="56" t="s">
        <v>170</v>
      </c>
      <c r="C91" s="64" t="s">
        <v>109</v>
      </c>
      <c r="D91" s="11">
        <v>0.9</v>
      </c>
      <c r="E91" s="11">
        <v>1</v>
      </c>
      <c r="F91" s="11">
        <v>1.5</v>
      </c>
      <c r="G91" s="14">
        <f t="shared" si="109"/>
        <v>1.0666666666666667</v>
      </c>
      <c r="H91" s="14">
        <f t="shared" si="110"/>
        <v>1.1333333333333333</v>
      </c>
      <c r="I91" s="14">
        <f t="shared" si="111"/>
        <v>0.13123346456686352</v>
      </c>
      <c r="J91" s="72">
        <f t="shared" si="112"/>
        <v>1.7222222222222222E-2</v>
      </c>
      <c r="K91" s="12"/>
      <c r="L91" s="13">
        <f t="shared" si="113"/>
        <v>1.125</v>
      </c>
      <c r="M91" s="14">
        <f t="shared" si="114"/>
        <v>1.25</v>
      </c>
      <c r="N91" s="14">
        <f t="shared" si="115"/>
        <v>1.875</v>
      </c>
      <c r="O91" s="15">
        <f t="shared" si="116"/>
        <v>1.3333333333333333</v>
      </c>
      <c r="P91" s="14">
        <f t="shared" si="117"/>
        <v>0.67500000000000004</v>
      </c>
      <c r="Q91" s="14">
        <f t="shared" si="118"/>
        <v>0.75</v>
      </c>
      <c r="R91" s="14">
        <f t="shared" si="119"/>
        <v>1.125</v>
      </c>
      <c r="S91" s="16">
        <f t="shared" si="120"/>
        <v>0.79999999999999993</v>
      </c>
      <c r="T91" s="17"/>
    </row>
    <row r="92" spans="1:20" x14ac:dyDescent="0.2">
      <c r="A92" s="67">
        <f>ROW() - 13</f>
        <v>79</v>
      </c>
      <c r="B92" s="54" t="s">
        <v>153</v>
      </c>
      <c r="C92" s="64"/>
      <c r="D92" s="11"/>
      <c r="E92" s="11"/>
      <c r="F92" s="11"/>
      <c r="G92" s="14">
        <f t="shared" ref="G92" si="385">(D92+F92+(E92*4))/6</f>
        <v>0</v>
      </c>
      <c r="H92" s="14">
        <f t="shared" ref="H92" si="386">(D92+E92+F92)/3</f>
        <v>0</v>
      </c>
      <c r="I92" s="14">
        <f t="shared" ref="I92" si="387">SQRT(J92)</f>
        <v>0</v>
      </c>
      <c r="J92" s="72">
        <f t="shared" ref="J92" si="388">(POWER(F92-D92,2)+(E92-D92)*(E92-F92))/18</f>
        <v>0</v>
      </c>
      <c r="K92" s="12"/>
      <c r="L92" s="13">
        <f t="shared" ref="L92" si="389">D92*Green_Team_Productivity_Multiplier</f>
        <v>0</v>
      </c>
      <c r="M92" s="14">
        <f t="shared" ref="M92" si="390">E92*Green_Team_Productivity_Multiplier</f>
        <v>0</v>
      </c>
      <c r="N92" s="14">
        <f t="shared" ref="N92" si="391">F92*Green_Team_Productivity_Multiplier</f>
        <v>0</v>
      </c>
      <c r="O92" s="15">
        <f t="shared" ref="O92" si="392">(N92+L92+(4*M92))/6</f>
        <v>0</v>
      </c>
      <c r="P92" s="14">
        <f t="shared" ref="P92" si="393">D92*Expert_Team_Productivity_Multiplier</f>
        <v>0</v>
      </c>
      <c r="Q92" s="14">
        <f t="shared" ref="Q92" si="394">E92*Expert_Team_Productivity_Multiplier</f>
        <v>0</v>
      </c>
      <c r="R92" s="14">
        <f t="shared" ref="R92" si="395">F92*Expert_Team_Productivity_Multiplier</f>
        <v>0</v>
      </c>
      <c r="S92" s="16">
        <f t="shared" ref="S92" si="396">(R92+P92+(4*Q92))/6</f>
        <v>0</v>
      </c>
      <c r="T92" s="17"/>
    </row>
    <row r="93" spans="1:20" x14ac:dyDescent="0.2">
      <c r="A93" s="67">
        <f>ROW() - 13</f>
        <v>80</v>
      </c>
      <c r="B93" s="55" t="s">
        <v>169</v>
      </c>
      <c r="C93" s="64" t="s">
        <v>109</v>
      </c>
      <c r="D93" s="11">
        <v>2.5</v>
      </c>
      <c r="E93" s="11">
        <v>3</v>
      </c>
      <c r="F93" s="11">
        <v>5.5</v>
      </c>
      <c r="G93" s="14">
        <f t="shared" si="109"/>
        <v>3.3333333333333335</v>
      </c>
      <c r="H93" s="14">
        <f t="shared" si="110"/>
        <v>3.6666666666666665</v>
      </c>
      <c r="I93" s="14">
        <f t="shared" si="111"/>
        <v>0.65616732283431756</v>
      </c>
      <c r="J93" s="72">
        <f t="shared" si="112"/>
        <v>0.43055555555555558</v>
      </c>
      <c r="K93" s="12"/>
      <c r="L93" s="13">
        <f t="shared" si="113"/>
        <v>3.125</v>
      </c>
      <c r="M93" s="14">
        <f t="shared" si="114"/>
        <v>3.75</v>
      </c>
      <c r="N93" s="14">
        <f t="shared" si="115"/>
        <v>6.875</v>
      </c>
      <c r="O93" s="15">
        <f t="shared" si="116"/>
        <v>4.166666666666667</v>
      </c>
      <c r="P93" s="14">
        <f t="shared" si="117"/>
        <v>1.875</v>
      </c>
      <c r="Q93" s="14">
        <f t="shared" si="118"/>
        <v>2.25</v>
      </c>
      <c r="R93" s="14">
        <f t="shared" si="119"/>
        <v>4.125</v>
      </c>
      <c r="S93" s="16">
        <f t="shared" si="120"/>
        <v>2.5</v>
      </c>
      <c r="T93" s="17"/>
    </row>
    <row r="94" spans="1:20" x14ac:dyDescent="0.2">
      <c r="A94" s="67">
        <f>ROW() - 13</f>
        <v>81</v>
      </c>
      <c r="B94" s="56" t="s">
        <v>170</v>
      </c>
      <c r="C94" s="64" t="s">
        <v>109</v>
      </c>
      <c r="D94" s="11">
        <v>0.9</v>
      </c>
      <c r="E94" s="11">
        <v>1</v>
      </c>
      <c r="F94" s="11">
        <v>1.5</v>
      </c>
      <c r="G94" s="14">
        <f t="shared" ref="G94:G96" si="397">(D94+F94+(E94*4))/6</f>
        <v>1.0666666666666667</v>
      </c>
      <c r="H94" s="14">
        <f t="shared" ref="H94:H96" si="398">(D94+E94+F94)/3</f>
        <v>1.1333333333333333</v>
      </c>
      <c r="I94" s="14">
        <f t="shared" ref="I94:I96" si="399">SQRT(J94)</f>
        <v>0.13123346456686352</v>
      </c>
      <c r="J94" s="72">
        <f t="shared" ref="J94:J96" si="400">(POWER(F94-D94,2)+(E94-D94)*(E94-F94))/18</f>
        <v>1.7222222222222222E-2</v>
      </c>
      <c r="K94" s="12"/>
      <c r="L94" s="13">
        <f t="shared" ref="L94:L96" si="401">D94*Green_Team_Productivity_Multiplier</f>
        <v>1.125</v>
      </c>
      <c r="M94" s="14">
        <f t="shared" ref="M94:M96" si="402">E94*Green_Team_Productivity_Multiplier</f>
        <v>1.25</v>
      </c>
      <c r="N94" s="14">
        <f t="shared" ref="N94:N96" si="403">F94*Green_Team_Productivity_Multiplier</f>
        <v>1.875</v>
      </c>
      <c r="O94" s="15">
        <f t="shared" ref="O94:O96" si="404">(N94+L94+(4*M94))/6</f>
        <v>1.3333333333333333</v>
      </c>
      <c r="P94" s="14">
        <f t="shared" ref="P94:P96" si="405">D94*Expert_Team_Productivity_Multiplier</f>
        <v>0.67500000000000004</v>
      </c>
      <c r="Q94" s="14">
        <f t="shared" ref="Q94:Q96" si="406">E94*Expert_Team_Productivity_Multiplier</f>
        <v>0.75</v>
      </c>
      <c r="R94" s="14">
        <f t="shared" ref="R94:R96" si="407">F94*Expert_Team_Productivity_Multiplier</f>
        <v>1.125</v>
      </c>
      <c r="S94" s="16">
        <f t="shared" ref="S94:S96" si="408">(R94+P94+(4*Q94))/6</f>
        <v>0.79999999999999993</v>
      </c>
      <c r="T94" s="17"/>
    </row>
    <row r="95" spans="1:20" x14ac:dyDescent="0.2">
      <c r="A95" s="67">
        <f>ROW() - 13</f>
        <v>82</v>
      </c>
      <c r="B95" s="54" t="s">
        <v>163</v>
      </c>
      <c r="C95" s="64"/>
      <c r="D95" s="11"/>
      <c r="E95" s="11"/>
      <c r="F95" s="11"/>
      <c r="G95" s="14">
        <f t="shared" ref="G95" si="409">(D95+F95+(E95*4))/6</f>
        <v>0</v>
      </c>
      <c r="H95" s="14">
        <f t="shared" ref="H95" si="410">(D95+E95+F95)/3</f>
        <v>0</v>
      </c>
      <c r="I95" s="14">
        <f t="shared" ref="I95" si="411">SQRT(J95)</f>
        <v>0</v>
      </c>
      <c r="J95" s="72">
        <f t="shared" ref="J95" si="412">(POWER(F95-D95,2)+(E95-D95)*(E95-F95))/18</f>
        <v>0</v>
      </c>
      <c r="K95" s="12"/>
      <c r="L95" s="13">
        <f t="shared" ref="L95" si="413">D95*Green_Team_Productivity_Multiplier</f>
        <v>0</v>
      </c>
      <c r="M95" s="14">
        <f t="shared" ref="M95" si="414">E95*Green_Team_Productivity_Multiplier</f>
        <v>0</v>
      </c>
      <c r="N95" s="14">
        <f t="shared" ref="N95" si="415">F95*Green_Team_Productivity_Multiplier</f>
        <v>0</v>
      </c>
      <c r="O95" s="15">
        <f t="shared" ref="O95" si="416">(N95+L95+(4*M95))/6</f>
        <v>0</v>
      </c>
      <c r="P95" s="14">
        <f t="shared" ref="P95" si="417">D95*Expert_Team_Productivity_Multiplier</f>
        <v>0</v>
      </c>
      <c r="Q95" s="14">
        <f t="shared" ref="Q95" si="418">E95*Expert_Team_Productivity_Multiplier</f>
        <v>0</v>
      </c>
      <c r="R95" s="14">
        <f t="shared" ref="R95" si="419">F95*Expert_Team_Productivity_Multiplier</f>
        <v>0</v>
      </c>
      <c r="S95" s="16">
        <f t="shared" ref="S95" si="420">(R95+P95+(4*Q95))/6</f>
        <v>0</v>
      </c>
      <c r="T95" s="17"/>
    </row>
    <row r="96" spans="1:20" x14ac:dyDescent="0.2">
      <c r="A96" s="67">
        <f>ROW() - 13</f>
        <v>83</v>
      </c>
      <c r="B96" s="55" t="s">
        <v>169</v>
      </c>
      <c r="C96" s="64" t="s">
        <v>109</v>
      </c>
      <c r="D96" s="11">
        <v>5</v>
      </c>
      <c r="E96" s="11">
        <v>6</v>
      </c>
      <c r="F96" s="11">
        <v>9</v>
      </c>
      <c r="G96" s="14">
        <f t="shared" si="397"/>
        <v>6.333333333333333</v>
      </c>
      <c r="H96" s="14">
        <f t="shared" si="398"/>
        <v>6.666666666666667</v>
      </c>
      <c r="I96" s="14">
        <f t="shared" si="399"/>
        <v>0.84983658559879749</v>
      </c>
      <c r="J96" s="72">
        <f t="shared" si="400"/>
        <v>0.72222222222222221</v>
      </c>
      <c r="K96" s="12"/>
      <c r="L96" s="13">
        <f t="shared" si="401"/>
        <v>6.25</v>
      </c>
      <c r="M96" s="14">
        <f t="shared" si="402"/>
        <v>7.5</v>
      </c>
      <c r="N96" s="14">
        <f t="shared" si="403"/>
        <v>11.25</v>
      </c>
      <c r="O96" s="15">
        <f t="shared" si="404"/>
        <v>7.916666666666667</v>
      </c>
      <c r="P96" s="14">
        <f t="shared" si="405"/>
        <v>3.75</v>
      </c>
      <c r="Q96" s="14">
        <f t="shared" si="406"/>
        <v>4.5</v>
      </c>
      <c r="R96" s="14">
        <f t="shared" si="407"/>
        <v>6.75</v>
      </c>
      <c r="S96" s="16">
        <f t="shared" si="408"/>
        <v>4.75</v>
      </c>
      <c r="T96" s="17"/>
    </row>
    <row r="97" spans="1:20" x14ac:dyDescent="0.2">
      <c r="A97" s="67">
        <f>ROW() - 13</f>
        <v>84</v>
      </c>
      <c r="B97" s="56" t="s">
        <v>170</v>
      </c>
      <c r="C97" s="64" t="s">
        <v>109</v>
      </c>
      <c r="D97" s="11">
        <v>0.9</v>
      </c>
      <c r="E97" s="11">
        <v>1</v>
      </c>
      <c r="F97" s="11">
        <v>1.5</v>
      </c>
      <c r="G97" s="14">
        <f t="shared" si="109"/>
        <v>1.0666666666666667</v>
      </c>
      <c r="H97" s="14">
        <f t="shared" si="110"/>
        <v>1.1333333333333333</v>
      </c>
      <c r="I97" s="14">
        <f t="shared" si="111"/>
        <v>0.13123346456686352</v>
      </c>
      <c r="J97" s="72">
        <f t="shared" si="112"/>
        <v>1.7222222222222222E-2</v>
      </c>
      <c r="K97" s="12"/>
      <c r="L97" s="13">
        <f t="shared" si="113"/>
        <v>1.125</v>
      </c>
      <c r="M97" s="14">
        <f t="shared" si="114"/>
        <v>1.25</v>
      </c>
      <c r="N97" s="14">
        <f t="shared" si="115"/>
        <v>1.875</v>
      </c>
      <c r="O97" s="15">
        <f t="shared" si="116"/>
        <v>1.3333333333333333</v>
      </c>
      <c r="P97" s="14">
        <f t="shared" si="117"/>
        <v>0.67500000000000004</v>
      </c>
      <c r="Q97" s="14">
        <f t="shared" si="118"/>
        <v>0.75</v>
      </c>
      <c r="R97" s="14">
        <f t="shared" si="119"/>
        <v>1.125</v>
      </c>
      <c r="S97" s="16">
        <f t="shared" si="120"/>
        <v>0.79999999999999993</v>
      </c>
      <c r="T97" s="17"/>
    </row>
    <row r="98" spans="1:20" x14ac:dyDescent="0.2">
      <c r="A98" s="67">
        <f>ROW() - 13</f>
        <v>85</v>
      </c>
      <c r="B98" s="56" t="s">
        <v>183</v>
      </c>
      <c r="C98" s="64" t="s">
        <v>109</v>
      </c>
      <c r="D98" s="11">
        <v>0.9</v>
      </c>
      <c r="E98" s="11">
        <v>1</v>
      </c>
      <c r="F98" s="11">
        <v>1.5</v>
      </c>
      <c r="G98" s="14">
        <f t="shared" si="109"/>
        <v>1.0666666666666667</v>
      </c>
      <c r="H98" s="14">
        <f t="shared" si="110"/>
        <v>1.1333333333333333</v>
      </c>
      <c r="I98" s="14">
        <f t="shared" si="111"/>
        <v>0.13123346456686352</v>
      </c>
      <c r="J98" s="72">
        <f t="shared" si="112"/>
        <v>1.7222222222222222E-2</v>
      </c>
      <c r="K98" s="12"/>
      <c r="L98" s="13">
        <f t="shared" si="113"/>
        <v>1.125</v>
      </c>
      <c r="M98" s="14">
        <f t="shared" si="114"/>
        <v>1.25</v>
      </c>
      <c r="N98" s="14">
        <f t="shared" si="115"/>
        <v>1.875</v>
      </c>
      <c r="O98" s="15">
        <f t="shared" si="116"/>
        <v>1.3333333333333333</v>
      </c>
      <c r="P98" s="14">
        <f t="shared" si="117"/>
        <v>0.67500000000000004</v>
      </c>
      <c r="Q98" s="14">
        <f t="shared" si="118"/>
        <v>0.75</v>
      </c>
      <c r="R98" s="14">
        <f t="shared" si="119"/>
        <v>1.125</v>
      </c>
      <c r="S98" s="16">
        <f t="shared" si="120"/>
        <v>0.79999999999999993</v>
      </c>
      <c r="T98" s="17"/>
    </row>
    <row r="99" spans="1:20" x14ac:dyDescent="0.2">
      <c r="A99" s="67" t="str">
        <f t="shared" si="84"/>
        <v/>
      </c>
      <c r="B99" s="69"/>
      <c r="C99" s="64"/>
      <c r="D99" s="11"/>
      <c r="E99" s="11"/>
      <c r="F99" s="11"/>
      <c r="G99" s="14">
        <f t="shared" si="0"/>
        <v>0</v>
      </c>
      <c r="H99" s="14">
        <f t="shared" si="1"/>
        <v>0</v>
      </c>
      <c r="I99" s="14">
        <f t="shared" si="2"/>
        <v>0</v>
      </c>
      <c r="J99" s="72">
        <f t="shared" si="3"/>
        <v>0</v>
      </c>
      <c r="K99" s="12"/>
      <c r="L99" s="13">
        <f t="shared" si="4"/>
        <v>0</v>
      </c>
      <c r="M99" s="14">
        <f t="shared" si="5"/>
        <v>0</v>
      </c>
      <c r="N99" s="14">
        <f t="shared" si="6"/>
        <v>0</v>
      </c>
      <c r="O99" s="15">
        <f t="shared" si="7"/>
        <v>0</v>
      </c>
      <c r="P99" s="14">
        <f t="shared" si="8"/>
        <v>0</v>
      </c>
      <c r="Q99" s="14">
        <f t="shared" si="9"/>
        <v>0</v>
      </c>
      <c r="R99" s="14">
        <f t="shared" si="10"/>
        <v>0</v>
      </c>
      <c r="S99" s="16">
        <f t="shared" si="11"/>
        <v>0</v>
      </c>
      <c r="T99" s="17"/>
    </row>
    <row r="100" spans="1:20" x14ac:dyDescent="0.2">
      <c r="A100" s="133" t="s">
        <v>76</v>
      </c>
      <c r="B100" s="134"/>
      <c r="C100" s="134"/>
      <c r="D100" s="134"/>
      <c r="E100" s="134"/>
      <c r="F100" s="135"/>
      <c r="G100" s="18">
        <f xml:space="preserve"> SUM(G14:G99)</f>
        <v>1232.6099999999994</v>
      </c>
      <c r="H100" s="18">
        <f>SUM(H14:H99)</f>
        <v>1309.0800000000004</v>
      </c>
      <c r="I100" s="18">
        <f>SQRT(J100)</f>
        <v>35.54014287472063</v>
      </c>
      <c r="J100" s="18">
        <f>SUM(J14:J99)</f>
        <v>1263.1017555555557</v>
      </c>
      <c r="K100" s="19"/>
      <c r="L100" s="145" t="s">
        <v>36</v>
      </c>
      <c r="M100" s="146"/>
      <c r="N100" s="147"/>
      <c r="O100" s="20">
        <f>SUM(O14:O99)</f>
        <v>1540.7624999999996</v>
      </c>
      <c r="P100" s="145" t="s">
        <v>37</v>
      </c>
      <c r="Q100" s="146"/>
      <c r="R100" s="147"/>
      <c r="S100" s="20">
        <f>SUM(S14:S99)</f>
        <v>924.45749999999998</v>
      </c>
    </row>
    <row r="101" spans="1:20" x14ac:dyDescent="0.2">
      <c r="G101" s="21"/>
      <c r="H101" s="21"/>
      <c r="I101" s="21"/>
      <c r="K101" s="22"/>
      <c r="L101" s="10"/>
      <c r="M101" s="10"/>
      <c r="N101" s="10"/>
    </row>
    <row r="102" spans="1:20" x14ac:dyDescent="0.2">
      <c r="G102" s="21"/>
      <c r="H102" s="21"/>
      <c r="I102" s="21"/>
      <c r="K102" s="22"/>
      <c r="L102" s="10"/>
      <c r="M102" s="10"/>
      <c r="N102" s="10"/>
    </row>
  </sheetData>
  <sheetProtection password="CD32" sheet="1" objects="1" scenarios="1"/>
  <sortState ref="AZ16:BC22">
    <sortCondition descending="1" ref="BC16:BC22"/>
    <sortCondition ref="AZ16:AZ22"/>
  </sortState>
  <mergeCells count="35">
    <mergeCell ref="A100:F100"/>
    <mergeCell ref="P11:S11"/>
    <mergeCell ref="O12:O13"/>
    <mergeCell ref="L12:L13"/>
    <mergeCell ref="M12:M13"/>
    <mergeCell ref="S12:S13"/>
    <mergeCell ref="P12:P13"/>
    <mergeCell ref="R12:R13"/>
    <mergeCell ref="C11:C13"/>
    <mergeCell ref="N12:N13"/>
    <mergeCell ref="L100:N100"/>
    <mergeCell ref="P100:R100"/>
    <mergeCell ref="L11:O11"/>
    <mergeCell ref="Q12:Q13"/>
    <mergeCell ref="A11:A13"/>
    <mergeCell ref="B11:B13"/>
    <mergeCell ref="G12:J12"/>
    <mergeCell ref="D12:D13"/>
    <mergeCell ref="F12:F13"/>
    <mergeCell ref="E12:E13"/>
    <mergeCell ref="D11:J11"/>
    <mergeCell ref="M8:O8"/>
    <mergeCell ref="M7:O7"/>
    <mergeCell ref="F8:I8"/>
    <mergeCell ref="F7:I7"/>
    <mergeCell ref="P10:S10"/>
    <mergeCell ref="L10:O10"/>
    <mergeCell ref="E5:F5"/>
    <mergeCell ref="E4:F4"/>
    <mergeCell ref="G5:J5"/>
    <mergeCell ref="G4:J4"/>
    <mergeCell ref="W2:X2"/>
    <mergeCell ref="E3:F3"/>
    <mergeCell ref="G3:J3"/>
    <mergeCell ref="T3:Y3"/>
  </mergeCells>
  <phoneticPr fontId="0" type="noConversion"/>
  <conditionalFormatting sqref="E14:E27 E30:E37 E40:E41 E43:E57 E60:E61 E63:E64 E67:E69 E78:E79 E84:E93 E95:E96 E99">
    <cfRule type="cellIs" dxfId="69" priority="73" stopIfTrue="1" operator="greaterThan">
      <formula>F14</formula>
    </cfRule>
  </conditionalFormatting>
  <conditionalFormatting sqref="D14:D27 D30:D37 D40:D41 D43:D57 D60:D61 D63:D64 D67:D69 D78:D79 D84:D93 D95:D96 D99">
    <cfRule type="cellIs" dxfId="68" priority="67" stopIfTrue="1" operator="greaterThan">
      <formula>$E14*0.9</formula>
    </cfRule>
    <cfRule type="cellIs" dxfId="67" priority="68" stopIfTrue="1" operator="lessThan">
      <formula>$E14*0.7</formula>
    </cfRule>
  </conditionalFormatting>
  <conditionalFormatting sqref="F14:F27 F30:F37 F40:F41 F43:F57 F60:F61 F63:F64 F67:F69 F78:F79 F84:F93 F95:F96 F99">
    <cfRule type="cellIs" dxfId="66" priority="61" stopIfTrue="1" operator="greaterThan">
      <formula>$E14*4</formula>
    </cfRule>
    <cfRule type="cellIs" dxfId="65" priority="62" stopIfTrue="1" operator="lessThan">
      <formula>$E14*1.5</formula>
    </cfRule>
  </conditionalFormatting>
  <conditionalFormatting sqref="E28:E29">
    <cfRule type="cellIs" dxfId="64" priority="60" stopIfTrue="1" operator="greaterThan">
      <formula>F28</formula>
    </cfRule>
  </conditionalFormatting>
  <conditionalFormatting sqref="D28:D29">
    <cfRule type="cellIs" dxfId="63" priority="58" stopIfTrue="1" operator="greaterThan">
      <formula>$E28*0.9</formula>
    </cfRule>
    <cfRule type="cellIs" dxfId="62" priority="59" stopIfTrue="1" operator="lessThan">
      <formula>$E28*0.7</formula>
    </cfRule>
  </conditionalFormatting>
  <conditionalFormatting sqref="F28:F29">
    <cfRule type="cellIs" dxfId="61" priority="56" stopIfTrue="1" operator="greaterThan">
      <formula>$E28*4</formula>
    </cfRule>
    <cfRule type="cellIs" dxfId="60" priority="57" stopIfTrue="1" operator="lessThan">
      <formula>$E28*1.5</formula>
    </cfRule>
  </conditionalFormatting>
  <conditionalFormatting sqref="E38:E39">
    <cfRule type="cellIs" dxfId="59" priority="55" stopIfTrue="1" operator="greaterThan">
      <formula>F38</formula>
    </cfRule>
  </conditionalFormatting>
  <conditionalFormatting sqref="D38:D39">
    <cfRule type="cellIs" dxfId="58" priority="53" stopIfTrue="1" operator="greaterThan">
      <formula>$E38*0.9</formula>
    </cfRule>
    <cfRule type="cellIs" dxfId="57" priority="54" stopIfTrue="1" operator="lessThan">
      <formula>$E38*0.7</formula>
    </cfRule>
  </conditionalFormatting>
  <conditionalFormatting sqref="F38:F39">
    <cfRule type="cellIs" dxfId="56" priority="51" stopIfTrue="1" operator="greaterThan">
      <formula>$E38*4</formula>
    </cfRule>
    <cfRule type="cellIs" dxfId="55" priority="52" stopIfTrue="1" operator="lessThan">
      <formula>$E38*1.5</formula>
    </cfRule>
  </conditionalFormatting>
  <conditionalFormatting sqref="E42">
    <cfRule type="cellIs" dxfId="54" priority="50" stopIfTrue="1" operator="greaterThan">
      <formula>F42</formula>
    </cfRule>
  </conditionalFormatting>
  <conditionalFormatting sqref="D42">
    <cfRule type="cellIs" dxfId="53" priority="48" stopIfTrue="1" operator="greaterThan">
      <formula>$E42*0.9</formula>
    </cfRule>
    <cfRule type="cellIs" dxfId="52" priority="49" stopIfTrue="1" operator="lessThan">
      <formula>$E42*0.7</formula>
    </cfRule>
  </conditionalFormatting>
  <conditionalFormatting sqref="F42">
    <cfRule type="cellIs" dxfId="51" priority="46" stopIfTrue="1" operator="greaterThan">
      <formula>$E42*4</formula>
    </cfRule>
    <cfRule type="cellIs" dxfId="50" priority="47" stopIfTrue="1" operator="lessThan">
      <formula>$E42*1.5</formula>
    </cfRule>
  </conditionalFormatting>
  <conditionalFormatting sqref="E58:E59">
    <cfRule type="cellIs" dxfId="49" priority="45" stopIfTrue="1" operator="greaterThan">
      <formula>F58</formula>
    </cfRule>
  </conditionalFormatting>
  <conditionalFormatting sqref="D58:D59">
    <cfRule type="cellIs" dxfId="48" priority="43" stopIfTrue="1" operator="greaterThan">
      <formula>$E58*0.9</formula>
    </cfRule>
    <cfRule type="cellIs" dxfId="47" priority="44" stopIfTrue="1" operator="lessThan">
      <formula>$E58*0.7</formula>
    </cfRule>
  </conditionalFormatting>
  <conditionalFormatting sqref="F58:F59">
    <cfRule type="cellIs" dxfId="46" priority="41" stopIfTrue="1" operator="greaterThan">
      <formula>$E58*4</formula>
    </cfRule>
    <cfRule type="cellIs" dxfId="45" priority="42" stopIfTrue="1" operator="lessThan">
      <formula>$E58*1.5</formula>
    </cfRule>
  </conditionalFormatting>
  <conditionalFormatting sqref="E62">
    <cfRule type="cellIs" dxfId="39" priority="40" stopIfTrue="1" operator="greaterThan">
      <formula>F62</formula>
    </cfRule>
  </conditionalFormatting>
  <conditionalFormatting sqref="D62">
    <cfRule type="cellIs" dxfId="38" priority="38" stopIfTrue="1" operator="greaterThan">
      <formula>$E62*0.9</formula>
    </cfRule>
    <cfRule type="cellIs" dxfId="37" priority="39" stopIfTrue="1" operator="lessThan">
      <formula>$E62*0.7</formula>
    </cfRule>
  </conditionalFormatting>
  <conditionalFormatting sqref="F62">
    <cfRule type="cellIs" dxfId="36" priority="36" stopIfTrue="1" operator="greaterThan">
      <formula>$E62*4</formula>
    </cfRule>
    <cfRule type="cellIs" dxfId="35" priority="37" stopIfTrue="1" operator="lessThan">
      <formula>$E62*1.5</formula>
    </cfRule>
  </conditionalFormatting>
  <conditionalFormatting sqref="E65">
    <cfRule type="cellIs" dxfId="34" priority="35" stopIfTrue="1" operator="greaterThan">
      <formula>F65</formula>
    </cfRule>
  </conditionalFormatting>
  <conditionalFormatting sqref="D65">
    <cfRule type="cellIs" dxfId="33" priority="33" stopIfTrue="1" operator="greaterThan">
      <formula>$E65*0.9</formula>
    </cfRule>
    <cfRule type="cellIs" dxfId="32" priority="34" stopIfTrue="1" operator="lessThan">
      <formula>$E65*0.7</formula>
    </cfRule>
  </conditionalFormatting>
  <conditionalFormatting sqref="F65">
    <cfRule type="cellIs" dxfId="31" priority="31" stopIfTrue="1" operator="greaterThan">
      <formula>$E65*4</formula>
    </cfRule>
    <cfRule type="cellIs" dxfId="30" priority="32" stopIfTrue="1" operator="lessThan">
      <formula>$E65*1.5</formula>
    </cfRule>
  </conditionalFormatting>
  <conditionalFormatting sqref="E66">
    <cfRule type="cellIs" dxfId="29" priority="30" stopIfTrue="1" operator="greaterThan">
      <formula>F66</formula>
    </cfRule>
  </conditionalFormatting>
  <conditionalFormatting sqref="D66">
    <cfRule type="cellIs" dxfId="28" priority="28" stopIfTrue="1" operator="greaterThan">
      <formula>$E66*0.9</formula>
    </cfRule>
    <cfRule type="cellIs" dxfId="27" priority="29" stopIfTrue="1" operator="lessThan">
      <formula>$E66*0.7</formula>
    </cfRule>
  </conditionalFormatting>
  <conditionalFormatting sqref="F66">
    <cfRule type="cellIs" dxfId="26" priority="26" stopIfTrue="1" operator="greaterThan">
      <formula>$E66*4</formula>
    </cfRule>
    <cfRule type="cellIs" dxfId="25" priority="27" stopIfTrue="1" operator="lessThan">
      <formula>$E66*1.5</formula>
    </cfRule>
  </conditionalFormatting>
  <conditionalFormatting sqref="E70:E74 E77">
    <cfRule type="cellIs" dxfId="24" priority="25" stopIfTrue="1" operator="greaterThan">
      <formula>F70</formula>
    </cfRule>
  </conditionalFormatting>
  <conditionalFormatting sqref="D70:D74 D77">
    <cfRule type="cellIs" dxfId="23" priority="23" stopIfTrue="1" operator="greaterThan">
      <formula>$E70*0.9</formula>
    </cfRule>
    <cfRule type="cellIs" dxfId="22" priority="24" stopIfTrue="1" operator="lessThan">
      <formula>$E70*0.7</formula>
    </cfRule>
  </conditionalFormatting>
  <conditionalFormatting sqref="F70:F74 F77">
    <cfRule type="cellIs" dxfId="21" priority="21" stopIfTrue="1" operator="greaterThan">
      <formula>$E70*4</formula>
    </cfRule>
    <cfRule type="cellIs" dxfId="20" priority="22" stopIfTrue="1" operator="lessThan">
      <formula>$E70*1.5</formula>
    </cfRule>
  </conditionalFormatting>
  <conditionalFormatting sqref="E75:E76">
    <cfRule type="cellIs" dxfId="19" priority="20" stopIfTrue="1" operator="greaterThan">
      <formula>F75</formula>
    </cfRule>
  </conditionalFormatting>
  <conditionalFormatting sqref="D75:D76">
    <cfRule type="cellIs" dxfId="18" priority="18" stopIfTrue="1" operator="greaterThan">
      <formula>$E75*0.9</formula>
    </cfRule>
    <cfRule type="cellIs" dxfId="17" priority="19" stopIfTrue="1" operator="lessThan">
      <formula>$E75*0.7</formula>
    </cfRule>
  </conditionalFormatting>
  <conditionalFormatting sqref="F75:F76">
    <cfRule type="cellIs" dxfId="16" priority="16" stopIfTrue="1" operator="greaterThan">
      <formula>$E75*4</formula>
    </cfRule>
    <cfRule type="cellIs" dxfId="15" priority="17" stopIfTrue="1" operator="lessThan">
      <formula>$E75*1.5</formula>
    </cfRule>
  </conditionalFormatting>
  <conditionalFormatting sqref="E80:E83">
    <cfRule type="cellIs" dxfId="14" priority="15" stopIfTrue="1" operator="greaterThan">
      <formula>F80</formula>
    </cfRule>
  </conditionalFormatting>
  <conditionalFormatting sqref="D80:D83">
    <cfRule type="cellIs" dxfId="13" priority="13" stopIfTrue="1" operator="greaterThan">
      <formula>$E80*0.9</formula>
    </cfRule>
    <cfRule type="cellIs" dxfId="12" priority="14" stopIfTrue="1" operator="lessThan">
      <formula>$E80*0.7</formula>
    </cfRule>
  </conditionalFormatting>
  <conditionalFormatting sqref="F80:F83">
    <cfRule type="cellIs" dxfId="11" priority="11" stopIfTrue="1" operator="greaterThan">
      <formula>$E80*4</formula>
    </cfRule>
    <cfRule type="cellIs" dxfId="10" priority="12" stopIfTrue="1" operator="lessThan">
      <formula>$E80*1.5</formula>
    </cfRule>
  </conditionalFormatting>
  <conditionalFormatting sqref="E94">
    <cfRule type="cellIs" dxfId="9" priority="10" stopIfTrue="1" operator="greaterThan">
      <formula>F94</formula>
    </cfRule>
  </conditionalFormatting>
  <conditionalFormatting sqref="D94">
    <cfRule type="cellIs" dxfId="8" priority="8" stopIfTrue="1" operator="greaterThan">
      <formula>$E94*0.9</formula>
    </cfRule>
    <cfRule type="cellIs" dxfId="7" priority="9" stopIfTrue="1" operator="lessThan">
      <formula>$E94*0.7</formula>
    </cfRule>
  </conditionalFormatting>
  <conditionalFormatting sqref="F94">
    <cfRule type="cellIs" dxfId="6" priority="6" stopIfTrue="1" operator="greaterThan">
      <formula>$E94*4</formula>
    </cfRule>
    <cfRule type="cellIs" dxfId="5" priority="7" stopIfTrue="1" operator="lessThan">
      <formula>$E94*1.5</formula>
    </cfRule>
  </conditionalFormatting>
  <conditionalFormatting sqref="E97:E98">
    <cfRule type="cellIs" dxfId="4" priority="5" stopIfTrue="1" operator="greaterThan">
      <formula>F97</formula>
    </cfRule>
  </conditionalFormatting>
  <conditionalFormatting sqref="D97:D98">
    <cfRule type="cellIs" dxfId="3" priority="3" stopIfTrue="1" operator="greaterThan">
      <formula>$E97*0.9</formula>
    </cfRule>
    <cfRule type="cellIs" dxfId="2" priority="4" stopIfTrue="1" operator="lessThan">
      <formula>$E97*0.7</formula>
    </cfRule>
  </conditionalFormatting>
  <conditionalFormatting sqref="F97:F98">
    <cfRule type="cellIs" dxfId="1" priority="1" stopIfTrue="1" operator="greaterThan">
      <formula>$E97*4</formula>
    </cfRule>
    <cfRule type="cellIs" dxfId="0" priority="2" stopIfTrue="1" operator="lessThan">
      <formula>$E97*1.5</formula>
    </cfRule>
  </conditionalFormatting>
  <dataValidations count="13">
    <dataValidation allowBlank="1" showInputMessage="1" showErrorMessage="1" promptTitle="Estimated Effort" prompt="Estimated Effort for the Task" sqref="O12 S12"/>
    <dataValidation allowBlank="1" showInputMessage="1" showErrorMessage="1" promptTitle="Expected Effort" prompt="Expected Effort for the Task" sqref="G12:J12"/>
    <dataValidation allowBlank="1" showInputMessage="1" showErrorMessage="1" promptTitle="Expected Effort" prompt="Expected Effort based on the PERT formula" sqref="G13"/>
    <dataValidation allowBlank="1" showInputMessage="1" showErrorMessage="1" promptTitle="Average" prompt="Average effort (for confidence level calculations)" sqref="H13"/>
    <dataValidation allowBlank="1" showInputMessage="1" showErrorMessage="1" promptTitle="Standard Deviation" prompt="Standard Deviation (for confidence level calculations)" sqref="I13"/>
    <dataValidation allowBlank="1" showInputMessage="1" showErrorMessage="1" promptTitle="Variance" prompt="Variance (for confidence level calculation)" sqref="J13"/>
    <dataValidation allowBlank="1" showInputMessage="1" showErrorMessage="1" promptTitle="Most Likely Effort - days" prompt="This is the best bet, the sort of estimate that is right more often than any other (i.e. the mode, in statistical language)" sqref="E12:E13 M12:M13 Q12:Q13"/>
    <dataValidation allowBlank="1" showInputMessage="1" showErrorMessage="1" promptTitle="Optimistic Effort - days" prompt="This is an optimistic estimate of what might happen, assuming that known risks do not materialize and that everything goes about as well as possible" sqref="D12:D13 L12:L13 P12:P13"/>
    <dataValidation allowBlank="1" showInputMessage="1" showErrorMessage="1" promptTitle="Pessimistic Effort - days" prompt="This is a pessimistic extreme, assuming that the worst tends to happen, but excluding the very remote - e.g. &quot;Acts of God&quot;" sqref="F12:F13 N12:N13 R12:R13"/>
    <dataValidation allowBlank="1" showInputMessage="1" showErrorMessage="1" promptTitle="No." prompt="Enter a Task Number" sqref="A11"/>
    <dataValidation allowBlank="1" showInputMessage="1" showErrorMessage="1" promptTitle="Task Name" prompt="Enter Task Name" sqref="B11:C11"/>
    <dataValidation type="list" allowBlank="1" showInputMessage="1" showErrorMessage="1" sqref="B5">
      <formula1>"Development, Maintenance, Testing"</formula1>
    </dataValidation>
    <dataValidation type="list" allowBlank="1" showInputMessage="1" showErrorMessage="1" sqref="C14:C99">
      <formula1>Task_Types</formula1>
    </dataValidation>
  </dataValidation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ignoredErrors>
    <ignoredError sqref="I100" formula="1"/>
  </ignoredErrors>
  <drawing r:id="rId2"/>
  <legacyDrawing r:id="rId3"/>
  <controls>
    <mc:AlternateContent xmlns:mc="http://schemas.openxmlformats.org/markup-compatibility/2006">
      <mc:Choice Requires="x14">
        <control shapeId="1066" r:id="rId4" name="AnalyzeData">
          <controlPr autoLine="0" r:id="rId5">
            <anchor moveWithCells="1">
              <from>
                <xdr:col>1</xdr:col>
                <xdr:colOff>1533525</xdr:colOff>
                <xdr:row>1</xdr:row>
                <xdr:rowOff>9525</xdr:rowOff>
              </from>
              <to>
                <xdr:col>1</xdr:col>
                <xdr:colOff>3219450</xdr:colOff>
                <xdr:row>2</xdr:row>
                <xdr:rowOff>133350</xdr:rowOff>
              </to>
            </anchor>
          </controlPr>
        </control>
      </mc:Choice>
      <mc:Fallback>
        <control shapeId="1066" r:id="rId4" name="AnalyzeData"/>
      </mc:Fallback>
    </mc:AlternateContent>
    <mc:AlternateContent xmlns:mc="http://schemas.openxmlformats.org/markup-compatibility/2006">
      <mc:Choice Requires="x14">
        <control shapeId="1059" r:id="rId6" name="InsertRow">
          <controlPr autoLine="0" r:id="rId7">
            <anchor moveWithCells="1">
              <from>
                <xdr:col>0</xdr:col>
                <xdr:colOff>323850</xdr:colOff>
                <xdr:row>1</xdr:row>
                <xdr:rowOff>19050</xdr:rowOff>
              </from>
              <to>
                <xdr:col>1</xdr:col>
                <xdr:colOff>466725</xdr:colOff>
                <xdr:row>2</xdr:row>
                <xdr:rowOff>142875</xdr:rowOff>
              </to>
            </anchor>
          </controlPr>
        </control>
      </mc:Choice>
      <mc:Fallback>
        <control shapeId="1059" r:id="rId6" name="InsertRow"/>
      </mc:Fallback>
    </mc:AlternateContent>
    <mc:AlternateContent xmlns:mc="http://schemas.openxmlformats.org/markup-compatibility/2006">
      <mc:Choice Requires="x14">
        <control shapeId="1060" r:id="rId8" name="DeleteRow">
          <controlPr autoLine="0" r:id="rId9">
            <anchor moveWithCells="1">
              <from>
                <xdr:col>1</xdr:col>
                <xdr:colOff>542925</xdr:colOff>
                <xdr:row>1</xdr:row>
                <xdr:rowOff>9525</xdr:rowOff>
              </from>
              <to>
                <xdr:col>1</xdr:col>
                <xdr:colOff>1457325</xdr:colOff>
                <xdr:row>2</xdr:row>
                <xdr:rowOff>133350</xdr:rowOff>
              </to>
            </anchor>
          </controlPr>
        </control>
      </mc:Choice>
      <mc:Fallback>
        <control shapeId="1060" r:id="rId8" name="DeleteRow"/>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I26"/>
  <sheetViews>
    <sheetView workbookViewId="0">
      <selection activeCell="E30" sqref="E30"/>
    </sheetView>
  </sheetViews>
  <sheetFormatPr defaultRowHeight="12.75" x14ac:dyDescent="0.2"/>
  <cols>
    <col min="1" max="1" width="2.7109375" style="23" customWidth="1"/>
    <col min="2" max="6" width="9.140625" style="23"/>
    <col min="7" max="7" width="17.42578125" style="23" hidden="1" customWidth="1"/>
    <col min="8" max="9" width="9.140625" style="23" hidden="1" customWidth="1"/>
    <col min="10" max="16384" width="9.140625" style="23"/>
  </cols>
  <sheetData>
    <row r="1" spans="2:9" ht="13.5" thickBot="1" x14ac:dyDescent="0.25"/>
    <row r="2" spans="2:9" ht="13.5" thickBot="1" x14ac:dyDescent="0.25">
      <c r="B2" s="154" t="s">
        <v>7</v>
      </c>
      <c r="C2" s="155"/>
      <c r="D2" s="77" t="s">
        <v>110</v>
      </c>
      <c r="E2" s="77" t="s">
        <v>111</v>
      </c>
      <c r="F2" s="78" t="s">
        <v>112</v>
      </c>
      <c r="G2" s="73" t="s">
        <v>114</v>
      </c>
      <c r="H2" s="74" t="s">
        <v>115</v>
      </c>
      <c r="I2" s="75" t="s">
        <v>116</v>
      </c>
    </row>
    <row r="3" spans="2:9" x14ac:dyDescent="0.2">
      <c r="B3" s="152" t="s">
        <v>118</v>
      </c>
      <c r="C3" s="153"/>
      <c r="D3" s="79" t="str">
        <f>IF(SUMIF('Detailed Task Estimates'!$C$14:$C$99,$B3,'Detailed Task Estimates'!$D$14:$D$99)&gt;0,SUMIF('Detailed Task Estimates'!$C$14:$C$99,$B3,'Detailed Task Estimates'!$D$14:$D$99),"")</f>
        <v/>
      </c>
      <c r="E3" s="79" t="str">
        <f>IF(SUMIF('Detailed Task Estimates'!$C$14:$C$99,$B3,'Detailed Task Estimates'!$F$14:$F$99)&gt;0,SUMIF('Detailed Task Estimates'!$C$14:$C$99,$B3,'Detailed Task Estimates'!$F$14:$F$99),"")</f>
        <v/>
      </c>
      <c r="F3" s="80" t="str">
        <f>IF(SUMIF('Detailed Task Estimates'!$C$14:$C$99,$B3,'Detailed Task Estimates'!$G$14:$G$99)&gt;0,SUMIF('Detailed Task Estimates'!$C$14:$C$99,$B3,'Detailed Task Estimates'!$G$14:$G$99),"")</f>
        <v/>
      </c>
      <c r="G3" s="76" t="s">
        <v>49</v>
      </c>
      <c r="H3" s="70"/>
      <c r="I3" s="71"/>
    </row>
    <row r="4" spans="2:9" x14ac:dyDescent="0.2">
      <c r="B4" s="150" t="s">
        <v>101</v>
      </c>
      <c r="C4" s="151"/>
      <c r="D4" s="81" t="str">
        <f>IF(SUMIF('Detailed Task Estimates'!$C$14:$C$99,$B4,'Detailed Task Estimates'!$D$14:$D$99)&gt;0,SUMIF('Detailed Task Estimates'!$C$14:$C$99,$B4,'Detailed Task Estimates'!$D$14:$D$99),"")</f>
        <v/>
      </c>
      <c r="E4" s="81" t="str">
        <f>IF(SUMIF('Detailed Task Estimates'!$C$14:$C$99,$B4,'Detailed Task Estimates'!$F$14:$F$99)&gt;0,SUMIF('Detailed Task Estimates'!$C$14:$C$99,$B4,'Detailed Task Estimates'!$F$14:$F$99),"")</f>
        <v/>
      </c>
      <c r="F4" s="82" t="str">
        <f>IF(SUMIF('Detailed Task Estimates'!$C$14:$C$99,$B4,'Detailed Task Estimates'!$G$14:$G$99)&gt;0,SUMIF('Detailed Task Estimates'!$C$14:$C$99,$B4,'Detailed Task Estimates'!$G$14:$G$99),"")</f>
        <v/>
      </c>
      <c r="G4" s="76" t="s">
        <v>49</v>
      </c>
      <c r="H4" s="70" t="s">
        <v>117</v>
      </c>
      <c r="I4" s="71"/>
    </row>
    <row r="5" spans="2:9" x14ac:dyDescent="0.2">
      <c r="B5" s="150" t="s">
        <v>102</v>
      </c>
      <c r="C5" s="151"/>
      <c r="D5" s="81" t="str">
        <f>IF(SUMIF('Detailed Task Estimates'!$C$14:$C$99,$B5,'Detailed Task Estimates'!$D$14:$D$99)&gt;0,SUMIF('Detailed Task Estimates'!$C$14:$C$99,$B5,'Detailed Task Estimates'!$D$14:$D$99),"")</f>
        <v/>
      </c>
      <c r="E5" s="81" t="str">
        <f>IF(SUMIF('Detailed Task Estimates'!$C$14:$C$99,$B5,'Detailed Task Estimates'!$F$14:$F$99)&gt;0,SUMIF('Detailed Task Estimates'!$C$14:$C$99,$B5,'Detailed Task Estimates'!$F$14:$F$99),"")</f>
        <v/>
      </c>
      <c r="F5" s="82" t="str">
        <f>IF(SUMIF('Detailed Task Estimates'!$C$14:$C$99,$B5,'Detailed Task Estimates'!$G$14:$G$99)&gt;0,SUMIF('Detailed Task Estimates'!$C$14:$C$99,$B5,'Detailed Task Estimates'!$G$14:$G$99),"")</f>
        <v/>
      </c>
      <c r="G5" s="76" t="s">
        <v>49</v>
      </c>
      <c r="H5" s="70" t="s">
        <v>117</v>
      </c>
      <c r="I5" s="71" t="s">
        <v>117</v>
      </c>
    </row>
    <row r="6" spans="2:9" x14ac:dyDescent="0.2">
      <c r="B6" s="150" t="s">
        <v>121</v>
      </c>
      <c r="C6" s="151"/>
      <c r="D6" s="81" t="str">
        <f>IF(SUMIF('Detailed Task Estimates'!$C$14:$C$99,$B6,'Detailed Task Estimates'!$D$14:$D$99)&gt;0,SUMIF('Detailed Task Estimates'!$C$14:$C$99,$B6,'Detailed Task Estimates'!$D$14:$D$99),"")</f>
        <v/>
      </c>
      <c r="E6" s="81" t="str">
        <f>IF(SUMIF('Detailed Task Estimates'!$C$14:$C$99,$B6,'Detailed Task Estimates'!$F$14:$F$99)&gt;0,SUMIF('Detailed Task Estimates'!$C$14:$C$99,$B6,'Detailed Task Estimates'!$F$14:$F$99),"")</f>
        <v/>
      </c>
      <c r="F6" s="82" t="str">
        <f>IF(SUMIF('Detailed Task Estimates'!$C$14:$C$99,$B6,'Detailed Task Estimates'!$G$14:$G$99)&gt;0,SUMIF('Detailed Task Estimates'!$C$14:$C$99,$B6,'Detailed Task Estimates'!$G$14:$G$99),"")</f>
        <v/>
      </c>
      <c r="G6" s="76" t="s">
        <v>8</v>
      </c>
      <c r="H6" s="70"/>
      <c r="I6" s="71"/>
    </row>
    <row r="7" spans="2:9" x14ac:dyDescent="0.2">
      <c r="B7" s="150" t="s">
        <v>122</v>
      </c>
      <c r="C7" s="151"/>
      <c r="D7" s="81" t="str">
        <f>IF(SUMIF('Detailed Task Estimates'!$C$14:$C$99,$B7,'Detailed Task Estimates'!$D$14:$D$99)&gt;0,SUMIF('Detailed Task Estimates'!$C$14:$C$99,$B7,'Detailed Task Estimates'!$D$14:$D$99),"")</f>
        <v/>
      </c>
      <c r="E7" s="81" t="str">
        <f>IF(SUMIF('Detailed Task Estimates'!$C$14:$C$99,$B7,'Detailed Task Estimates'!$F$14:$F$99)&gt;0,SUMIF('Detailed Task Estimates'!$C$14:$C$99,$B7,'Detailed Task Estimates'!$F$14:$F$99),"")</f>
        <v/>
      </c>
      <c r="F7" s="82" t="str">
        <f>IF(SUMIF('Detailed Task Estimates'!$C$14:$C$99,$B7,'Detailed Task Estimates'!$G$14:$G$99)&gt;0,SUMIF('Detailed Task Estimates'!$C$14:$C$99,$B7,'Detailed Task Estimates'!$G$14:$G$99),"")</f>
        <v/>
      </c>
      <c r="G7" s="76" t="s">
        <v>8</v>
      </c>
      <c r="H7" s="70" t="s">
        <v>117</v>
      </c>
      <c r="I7" s="71"/>
    </row>
    <row r="8" spans="2:9" x14ac:dyDescent="0.2">
      <c r="B8" s="150" t="s">
        <v>123</v>
      </c>
      <c r="C8" s="151"/>
      <c r="D8" s="81" t="str">
        <f>IF(SUMIF('Detailed Task Estimates'!$C$14:$C$99,$B8,'Detailed Task Estimates'!$D$14:$D$99)&gt;0,SUMIF('Detailed Task Estimates'!$C$14:$C$99,$B8,'Detailed Task Estimates'!$D$14:$D$99),"")</f>
        <v/>
      </c>
      <c r="E8" s="81" t="str">
        <f>IF(SUMIF('Detailed Task Estimates'!$C$14:$C$99,$B8,'Detailed Task Estimates'!$F$14:$F$99)&gt;0,SUMIF('Detailed Task Estimates'!$C$14:$C$99,$B8,'Detailed Task Estimates'!$F$14:$F$99),"")</f>
        <v/>
      </c>
      <c r="F8" s="82" t="str">
        <f>IF(SUMIF('Detailed Task Estimates'!$C$14:$C$99,$B8,'Detailed Task Estimates'!$G$14:$G$99)&gt;0,SUMIF('Detailed Task Estimates'!$C$14:$C$99,$B8,'Detailed Task Estimates'!$G$14:$G$99),"")</f>
        <v/>
      </c>
      <c r="G8" s="76" t="s">
        <v>8</v>
      </c>
      <c r="H8" s="70" t="s">
        <v>117</v>
      </c>
      <c r="I8" s="71" t="s">
        <v>117</v>
      </c>
    </row>
    <row r="9" spans="2:9" x14ac:dyDescent="0.2">
      <c r="B9" s="150" t="s">
        <v>103</v>
      </c>
      <c r="C9" s="151"/>
      <c r="D9" s="81" t="str">
        <f>IF(SUMIF('Detailed Task Estimates'!$C$14:$C$99,$B9,'Detailed Task Estimates'!$D$14:$D$99)&gt;0,SUMIF('Detailed Task Estimates'!$C$14:$C$99,$B9,'Detailed Task Estimates'!$D$14:$D$99),"")</f>
        <v/>
      </c>
      <c r="E9" s="81" t="str">
        <f>IF(SUMIF('Detailed Task Estimates'!$C$14:$C$99,$B9,'Detailed Task Estimates'!$F$14:$F$99)&gt;0,SUMIF('Detailed Task Estimates'!$C$14:$C$99,$B9,'Detailed Task Estimates'!$F$14:$F$99),"")</f>
        <v/>
      </c>
      <c r="F9" s="82" t="str">
        <f>IF(SUMIF('Detailed Task Estimates'!$C$14:$C$99,$B9,'Detailed Task Estimates'!$G$14:$G$99)&gt;0,SUMIF('Detailed Task Estimates'!$C$14:$C$99,$B9,'Detailed Task Estimates'!$G$14:$G$99),"")</f>
        <v/>
      </c>
      <c r="G9" s="76" t="s">
        <v>8</v>
      </c>
      <c r="H9" s="70"/>
      <c r="I9" s="71"/>
    </row>
    <row r="10" spans="2:9" x14ac:dyDescent="0.2">
      <c r="B10" s="150" t="s">
        <v>92</v>
      </c>
      <c r="C10" s="151"/>
      <c r="D10" s="81" t="str">
        <f>IF(SUMIF('Detailed Task Estimates'!$C$14:$C$99,$B10,'Detailed Task Estimates'!$D$14:$D$99)&gt;0,SUMIF('Detailed Task Estimates'!$C$14:$C$99,$B10,'Detailed Task Estimates'!$D$14:$D$99),"")</f>
        <v/>
      </c>
      <c r="E10" s="81" t="str">
        <f>IF(SUMIF('Detailed Task Estimates'!$C$14:$C$99,$B10,'Detailed Task Estimates'!$F$14:$F$99)&gt;0,SUMIF('Detailed Task Estimates'!$C$14:$C$99,$B10,'Detailed Task Estimates'!$F$14:$F$99),"")</f>
        <v/>
      </c>
      <c r="F10" s="82" t="str">
        <f>IF(SUMIF('Detailed Task Estimates'!$C$14:$C$99,$B10,'Detailed Task Estimates'!$G$14:$G$99)&gt;0,SUMIF('Detailed Task Estimates'!$C$14:$C$99,$B10,'Detailed Task Estimates'!$G$14:$G$99),"")</f>
        <v/>
      </c>
      <c r="G10" s="76" t="s">
        <v>8</v>
      </c>
      <c r="H10" s="70" t="s">
        <v>117</v>
      </c>
      <c r="I10" s="71"/>
    </row>
    <row r="11" spans="2:9" x14ac:dyDescent="0.2">
      <c r="B11" s="150" t="s">
        <v>93</v>
      </c>
      <c r="C11" s="151"/>
      <c r="D11" s="81" t="str">
        <f>IF(SUMIF('Detailed Task Estimates'!$C$14:$C$99,$B11,'Detailed Task Estimates'!$D$14:$D$99)&gt;0,SUMIF('Detailed Task Estimates'!$C$14:$C$99,$B11,'Detailed Task Estimates'!$D$14:$D$99),"")</f>
        <v/>
      </c>
      <c r="E11" s="81" t="str">
        <f>IF(SUMIF('Detailed Task Estimates'!$C$14:$C$99,$B11,'Detailed Task Estimates'!$F$14:$F$99)&gt;0,SUMIF('Detailed Task Estimates'!$C$14:$C$99,$B11,'Detailed Task Estimates'!$F$14:$F$99),"")</f>
        <v/>
      </c>
      <c r="F11" s="82" t="str">
        <f>IF(SUMIF('Detailed Task Estimates'!$C$14:$C$99,$B11,'Detailed Task Estimates'!$G$14:$G$99)&gt;0,SUMIF('Detailed Task Estimates'!$C$14:$C$99,$B11,'Detailed Task Estimates'!$G$14:$G$99),"")</f>
        <v/>
      </c>
      <c r="G11" s="76" t="s">
        <v>8</v>
      </c>
      <c r="H11" s="70" t="s">
        <v>117</v>
      </c>
      <c r="I11" s="71" t="s">
        <v>117</v>
      </c>
    </row>
    <row r="12" spans="2:9" x14ac:dyDescent="0.2">
      <c r="B12" s="150" t="s">
        <v>104</v>
      </c>
      <c r="C12" s="151"/>
      <c r="D12" s="81" t="str">
        <f>IF(SUMIF('Detailed Task Estimates'!$C$14:$C$99,$B12,'Detailed Task Estimates'!$D$14:$D$99)&gt;0,SUMIF('Detailed Task Estimates'!$C$14:$C$99,$B12,'Detailed Task Estimates'!$D$14:$D$99),"")</f>
        <v/>
      </c>
      <c r="E12" s="81" t="str">
        <f>IF(SUMIF('Detailed Task Estimates'!$C$14:$C$99,$B12,'Detailed Task Estimates'!$F$14:$F$99)&gt;0,SUMIF('Detailed Task Estimates'!$C$14:$C$99,$B12,'Detailed Task Estimates'!$F$14:$F$99),"")</f>
        <v/>
      </c>
      <c r="F12" s="82" t="str">
        <f>IF(SUMIF('Detailed Task Estimates'!$C$14:$C$99,$B12,'Detailed Task Estimates'!$G$14:$G$99)&gt;0,SUMIF('Detailed Task Estimates'!$C$14:$C$99,$B12,'Detailed Task Estimates'!$G$14:$G$99),"")</f>
        <v/>
      </c>
      <c r="G12" s="76" t="s">
        <v>89</v>
      </c>
      <c r="H12" s="70"/>
      <c r="I12" s="71"/>
    </row>
    <row r="13" spans="2:9" x14ac:dyDescent="0.2">
      <c r="B13" s="150" t="s">
        <v>50</v>
      </c>
      <c r="C13" s="151"/>
      <c r="D13" s="81" t="str">
        <f>IF(SUMIF('Detailed Task Estimates'!$C$14:$C$99,$B13,'Detailed Task Estimates'!$D$14:$D$99)&gt;0,SUMIF('Detailed Task Estimates'!$C$14:$C$99,$B13,'Detailed Task Estimates'!$D$14:$D$99),"")</f>
        <v/>
      </c>
      <c r="E13" s="81" t="str">
        <f>IF(SUMIF('Detailed Task Estimates'!$C$14:$C$99,$B13,'Detailed Task Estimates'!$F$14:$F$99)&gt;0,SUMIF('Detailed Task Estimates'!$C$14:$C$99,$B13,'Detailed Task Estimates'!$F$14:$F$99),"")</f>
        <v/>
      </c>
      <c r="F13" s="82" t="str">
        <f>IF(SUMIF('Detailed Task Estimates'!$C$14:$C$99,$B13,'Detailed Task Estimates'!$G$14:$G$99)&gt;0,SUMIF('Detailed Task Estimates'!$C$14:$C$99,$B13,'Detailed Task Estimates'!$G$14:$G$99),"")</f>
        <v/>
      </c>
      <c r="G13" s="76" t="s">
        <v>89</v>
      </c>
      <c r="H13" s="70" t="s">
        <v>117</v>
      </c>
      <c r="I13" s="71"/>
    </row>
    <row r="14" spans="2:9" x14ac:dyDescent="0.2">
      <c r="B14" s="150" t="s">
        <v>94</v>
      </c>
      <c r="C14" s="151"/>
      <c r="D14" s="81" t="str">
        <f>IF(SUMIF('Detailed Task Estimates'!$C$14:$C$99,$B14,'Detailed Task Estimates'!$D$14:$D$99)&gt;0,SUMIF('Detailed Task Estimates'!$C$14:$C$99,$B14,'Detailed Task Estimates'!$D$14:$D$99),"")</f>
        <v/>
      </c>
      <c r="E14" s="81" t="str">
        <f>IF(SUMIF('Detailed Task Estimates'!$C$14:$C$99,$B14,'Detailed Task Estimates'!$F$14:$F$99)&gt;0,SUMIF('Detailed Task Estimates'!$C$14:$C$99,$B14,'Detailed Task Estimates'!$F$14:$F$99),"")</f>
        <v/>
      </c>
      <c r="F14" s="82" t="str">
        <f>IF(SUMIF('Detailed Task Estimates'!$C$14:$C$99,$B14,'Detailed Task Estimates'!$G$14:$G$99)&gt;0,SUMIF('Detailed Task Estimates'!$C$14:$C$99,$B14,'Detailed Task Estimates'!$G$14:$G$99),"")</f>
        <v/>
      </c>
      <c r="G14" s="76" t="s">
        <v>89</v>
      </c>
      <c r="H14" s="70" t="s">
        <v>117</v>
      </c>
      <c r="I14" s="71" t="s">
        <v>117</v>
      </c>
    </row>
    <row r="15" spans="2:9" x14ac:dyDescent="0.2">
      <c r="B15" s="150" t="s">
        <v>105</v>
      </c>
      <c r="C15" s="151"/>
      <c r="D15" s="81" t="str">
        <f>IF(SUMIF('Detailed Task Estimates'!$C$14:$C$99,$B15,'Detailed Task Estimates'!$D$14:$D$99)&gt;0,SUMIF('Detailed Task Estimates'!$C$14:$C$99,$B15,'Detailed Task Estimates'!$D$14:$D$99),"")</f>
        <v/>
      </c>
      <c r="E15" s="81" t="str">
        <f>IF(SUMIF('Detailed Task Estimates'!$C$14:$C$99,$B15,'Detailed Task Estimates'!$F$14:$F$99)&gt;0,SUMIF('Detailed Task Estimates'!$C$14:$C$99,$B15,'Detailed Task Estimates'!$F$14:$F$99),"")</f>
        <v/>
      </c>
      <c r="F15" s="82" t="str">
        <f>IF(SUMIF('Detailed Task Estimates'!$C$14:$C$99,$B15,'Detailed Task Estimates'!$G$14:$G$99)&gt;0,SUMIF('Detailed Task Estimates'!$C$14:$C$99,$B15,'Detailed Task Estimates'!$G$14:$G$99),"")</f>
        <v/>
      </c>
      <c r="G15" s="76" t="s">
        <v>89</v>
      </c>
      <c r="H15" s="70" t="s">
        <v>117</v>
      </c>
      <c r="I15" s="71"/>
    </row>
    <row r="16" spans="2:9" x14ac:dyDescent="0.2">
      <c r="B16" s="150" t="s">
        <v>106</v>
      </c>
      <c r="C16" s="151"/>
      <c r="D16" s="81" t="str">
        <f>IF(SUMIF('Detailed Task Estimates'!$C$14:$C$99,$B16,'Detailed Task Estimates'!$D$14:$D$99)&gt;0,SUMIF('Detailed Task Estimates'!$C$14:$C$99,$B16,'Detailed Task Estimates'!$D$14:$D$99),"")</f>
        <v/>
      </c>
      <c r="E16" s="81" t="str">
        <f>IF(SUMIF('Detailed Task Estimates'!$C$14:$C$99,$B16,'Detailed Task Estimates'!$F$14:$F$99)&gt;0,SUMIF('Detailed Task Estimates'!$C$14:$C$99,$B16,'Detailed Task Estimates'!$F$14:$F$99),"")</f>
        <v/>
      </c>
      <c r="F16" s="82" t="str">
        <f>IF(SUMIF('Detailed Task Estimates'!$C$14:$C$99,$B16,'Detailed Task Estimates'!$G$14:$G$99)&gt;0,SUMIF('Detailed Task Estimates'!$C$14:$C$99,$B16,'Detailed Task Estimates'!$G$14:$G$99),"")</f>
        <v/>
      </c>
      <c r="G16" s="76" t="s">
        <v>89</v>
      </c>
      <c r="H16" s="70" t="s">
        <v>117</v>
      </c>
      <c r="I16" s="71"/>
    </row>
    <row r="17" spans="2:9" x14ac:dyDescent="0.2">
      <c r="B17" s="150" t="s">
        <v>119</v>
      </c>
      <c r="C17" s="151"/>
      <c r="D17" s="81" t="str">
        <f>IF(SUMIF('Detailed Task Estimates'!$C$14:$C$99,$B17,'Detailed Task Estimates'!$D$14:$D$99)&gt;0,SUMIF('Detailed Task Estimates'!$C$14:$C$99,$B17,'Detailed Task Estimates'!$D$14:$D$99),"")</f>
        <v/>
      </c>
      <c r="E17" s="81" t="str">
        <f>IF(SUMIF('Detailed Task Estimates'!$C$14:$C$99,$B17,'Detailed Task Estimates'!$F$14:$F$99)&gt;0,SUMIF('Detailed Task Estimates'!$C$14:$C$99,$B17,'Detailed Task Estimates'!$F$14:$F$99),"")</f>
        <v/>
      </c>
      <c r="F17" s="82" t="str">
        <f>IF(SUMIF('Detailed Task Estimates'!$C$14:$C$99,$B17,'Detailed Task Estimates'!$G$14:$G$99)&gt;0,SUMIF('Detailed Task Estimates'!$C$14:$C$99,$B17,'Detailed Task Estimates'!$G$14:$G$99),"")</f>
        <v/>
      </c>
      <c r="G17" s="76" t="s">
        <v>38</v>
      </c>
      <c r="H17" s="70" t="s">
        <v>117</v>
      </c>
      <c r="I17" s="71"/>
    </row>
    <row r="18" spans="2:9" x14ac:dyDescent="0.2">
      <c r="B18" s="150" t="s">
        <v>107</v>
      </c>
      <c r="C18" s="151"/>
      <c r="D18" s="81" t="str">
        <f>IF(SUMIF('Detailed Task Estimates'!$C$14:$C$99,$B18,'Detailed Task Estimates'!$D$14:$D$99)&gt;0,SUMIF('Detailed Task Estimates'!$C$14:$C$99,$B18,'Detailed Task Estimates'!$D$14:$D$99),"")</f>
        <v/>
      </c>
      <c r="E18" s="81" t="str">
        <f>IF(SUMIF('Detailed Task Estimates'!$C$14:$C$99,$B18,'Detailed Task Estimates'!$F$14:$F$99)&gt;0,SUMIF('Detailed Task Estimates'!$C$14:$C$99,$B18,'Detailed Task Estimates'!$F$14:$F$99),"")</f>
        <v/>
      </c>
      <c r="F18" s="82" t="str">
        <f>IF(SUMIF('Detailed Task Estimates'!$C$14:$C$99,$B18,'Detailed Task Estimates'!$G$14:$G$99)&gt;0,SUMIF('Detailed Task Estimates'!$C$14:$C$99,$B18,'Detailed Task Estimates'!$G$14:$G$99),"")</f>
        <v/>
      </c>
      <c r="G18" s="76" t="s">
        <v>38</v>
      </c>
      <c r="H18" s="70" t="s">
        <v>117</v>
      </c>
      <c r="I18" s="71"/>
    </row>
    <row r="19" spans="2:9" x14ac:dyDescent="0.2">
      <c r="B19" s="150" t="s">
        <v>108</v>
      </c>
      <c r="C19" s="151"/>
      <c r="D19" s="81" t="str">
        <f>IF(SUMIF('Detailed Task Estimates'!$C$14:$C$99,$B19,'Detailed Task Estimates'!$D$14:$D$99)&gt;0,SUMIF('Detailed Task Estimates'!$C$14:$C$99,$B19,'Detailed Task Estimates'!$D$14:$D$99),"")</f>
        <v/>
      </c>
      <c r="E19" s="81" t="str">
        <f>IF(SUMIF('Detailed Task Estimates'!$C$14:$C$99,$B19,'Detailed Task Estimates'!$F$14:$F$99)&gt;0,SUMIF('Detailed Task Estimates'!$C$14:$C$99,$B19,'Detailed Task Estimates'!$F$14:$F$99),"")</f>
        <v/>
      </c>
      <c r="F19" s="82" t="str">
        <f>IF(SUMIF('Detailed Task Estimates'!$C$14:$C$99,$B19,'Detailed Task Estimates'!$G$14:$G$99)&gt;0,SUMIF('Detailed Task Estimates'!$C$14:$C$99,$B19,'Detailed Task Estimates'!$G$14:$G$99),"")</f>
        <v/>
      </c>
      <c r="G19" s="76" t="s">
        <v>38</v>
      </c>
      <c r="H19" s="70" t="s">
        <v>117</v>
      </c>
      <c r="I19" s="71" t="s">
        <v>117</v>
      </c>
    </row>
    <row r="20" spans="2:9" x14ac:dyDescent="0.2">
      <c r="B20" s="150" t="s">
        <v>109</v>
      </c>
      <c r="C20" s="151"/>
      <c r="D20" s="81">
        <f>IF(SUMIF('Detailed Task Estimates'!$C$14:$C$99,$B20,'Detailed Task Estimates'!$D$14:$D$99)&gt;0,SUMIF('Detailed Task Estimates'!$C$14:$C$99,$B20,'Detailed Task Estimates'!$D$14:$D$99),"")</f>
        <v>1023.0999999999999</v>
      </c>
      <c r="E20" s="81">
        <f>IF(SUMIF('Detailed Task Estimates'!$C$14:$C$99,$B20,'Detailed Task Estimates'!$F$14:$F$99)&gt;0,SUMIF('Detailed Task Estimates'!$C$14:$C$99,$B20,'Detailed Task Estimates'!$F$14:$F$99),"")</f>
        <v>1748</v>
      </c>
      <c r="F20" s="82">
        <f>IF(SUMIF('Detailed Task Estimates'!$C$14:$C$99,$B20,'Detailed Task Estimates'!$G$14:$G$99)&gt;0,SUMIF('Detailed Task Estimates'!$C$14:$C$99,$B20,'Detailed Task Estimates'!$G$14:$G$99),"")</f>
        <v>1232.6099999999994</v>
      </c>
      <c r="G20" s="76" t="s">
        <v>38</v>
      </c>
      <c r="H20" s="70" t="s">
        <v>117</v>
      </c>
      <c r="I20" s="71"/>
    </row>
    <row r="21" spans="2:9" x14ac:dyDescent="0.2">
      <c r="B21" s="150" t="s">
        <v>120</v>
      </c>
      <c r="C21" s="151"/>
      <c r="D21" s="81" t="str">
        <f>IF(SUMIF('Detailed Task Estimates'!$C$14:$C$99,$B21,'Detailed Task Estimates'!$D$14:$D$99)&gt;0,SUMIF('Detailed Task Estimates'!$C$14:$C$99,$B21,'Detailed Task Estimates'!$D$14:$D$99),"")</f>
        <v/>
      </c>
      <c r="E21" s="81" t="str">
        <f>IF(SUMIF('Detailed Task Estimates'!$C$14:$C$99,$B21,'Detailed Task Estimates'!$F$14:$F$99)&gt;0,SUMIF('Detailed Task Estimates'!$C$14:$C$99,$B21,'Detailed Task Estimates'!$F$14:$F$99),"")</f>
        <v/>
      </c>
      <c r="F21" s="82" t="str">
        <f>IF(SUMIF('Detailed Task Estimates'!$C$14:$C$99,$B21,'Detailed Task Estimates'!$G$14:$G$99)&gt;0,SUMIF('Detailed Task Estimates'!$C$14:$C$99,$B21,'Detailed Task Estimates'!$G$14:$G$99),"")</f>
        <v/>
      </c>
      <c r="G21" s="76" t="s">
        <v>9</v>
      </c>
      <c r="H21" s="70"/>
      <c r="I21" s="71"/>
    </row>
    <row r="22" spans="2:9" x14ac:dyDescent="0.2">
      <c r="B22" s="150" t="s">
        <v>95</v>
      </c>
      <c r="C22" s="151"/>
      <c r="D22" s="81" t="str">
        <f>IF(SUMIF('Detailed Task Estimates'!$C$14:$C$99,$B22,'Detailed Task Estimates'!$D$14:$D$99)&gt;0,SUMIF('Detailed Task Estimates'!$C$14:$C$99,$B22,'Detailed Task Estimates'!$D$14:$D$99),"")</f>
        <v/>
      </c>
      <c r="E22" s="81" t="str">
        <f>IF(SUMIF('Detailed Task Estimates'!$C$14:$C$99,$B22,'Detailed Task Estimates'!$F$14:$F$99)&gt;0,SUMIF('Detailed Task Estimates'!$C$14:$C$99,$B22,'Detailed Task Estimates'!$F$14:$F$99),"")</f>
        <v/>
      </c>
      <c r="F22" s="82" t="str">
        <f>IF(SUMIF('Detailed Task Estimates'!$C$14:$C$99,$B22,'Detailed Task Estimates'!$G$14:$G$99)&gt;0,SUMIF('Detailed Task Estimates'!$C$14:$C$99,$B22,'Detailed Task Estimates'!$G$14:$G$99),"")</f>
        <v/>
      </c>
      <c r="G22" s="76" t="s">
        <v>9</v>
      </c>
      <c r="H22" s="70" t="s">
        <v>117</v>
      </c>
      <c r="I22" s="71"/>
    </row>
    <row r="23" spans="2:9" x14ac:dyDescent="0.2">
      <c r="B23" s="150" t="s">
        <v>96</v>
      </c>
      <c r="C23" s="151"/>
      <c r="D23" s="81" t="str">
        <f>IF(SUMIF('Detailed Task Estimates'!$C$14:$C$99,$B23,'Detailed Task Estimates'!$D$14:$D$99)&gt;0,SUMIF('Detailed Task Estimates'!$C$14:$C$99,$B23,'Detailed Task Estimates'!$D$14:$D$99),"")</f>
        <v/>
      </c>
      <c r="E23" s="81" t="str">
        <f>IF(SUMIF('Detailed Task Estimates'!$C$14:$C$99,$B23,'Detailed Task Estimates'!$F$14:$F$99)&gt;0,SUMIF('Detailed Task Estimates'!$C$14:$C$99,$B23,'Detailed Task Estimates'!$F$14:$F$99),"")</f>
        <v/>
      </c>
      <c r="F23" s="82" t="str">
        <f>IF(SUMIF('Detailed Task Estimates'!$C$14:$C$99,$B23,'Detailed Task Estimates'!$G$14:$G$99)&gt;0,SUMIF('Detailed Task Estimates'!$C$14:$C$99,$B23,'Detailed Task Estimates'!$G$14:$G$99),"")</f>
        <v/>
      </c>
      <c r="G23" s="76" t="s">
        <v>9</v>
      </c>
      <c r="H23" s="70" t="s">
        <v>117</v>
      </c>
      <c r="I23" s="71" t="s">
        <v>117</v>
      </c>
    </row>
    <row r="24" spans="2:9" x14ac:dyDescent="0.2">
      <c r="B24" s="150" t="s">
        <v>47</v>
      </c>
      <c r="C24" s="151"/>
      <c r="D24" s="81" t="str">
        <f>IF(SUMIF('Detailed Task Estimates'!$C$14:$C$99,$B24,'Detailed Task Estimates'!$D$14:$D$99)&gt;0,SUMIF('Detailed Task Estimates'!$C$14:$C$99,$B24,'Detailed Task Estimates'!$D$14:$D$99),"")</f>
        <v/>
      </c>
      <c r="E24" s="81" t="str">
        <f>IF(SUMIF('Detailed Task Estimates'!$C$14:$C$99,$B24,'Detailed Task Estimates'!$F$14:$F$99)&gt;0,SUMIF('Detailed Task Estimates'!$C$14:$C$99,$B24,'Detailed Task Estimates'!$F$14:$F$99),"")</f>
        <v/>
      </c>
      <c r="F24" s="82" t="str">
        <f>IF(SUMIF('Detailed Task Estimates'!$C$14:$C$99,$B24,'Detailed Task Estimates'!$G$14:$G$99)&gt;0,SUMIF('Detailed Task Estimates'!$C$14:$C$99,$B24,'Detailed Task Estimates'!$G$14:$G$99),"")</f>
        <v/>
      </c>
      <c r="G24" s="76" t="s">
        <v>88</v>
      </c>
      <c r="H24" s="70" t="s">
        <v>117</v>
      </c>
      <c r="I24" s="71"/>
    </row>
    <row r="25" spans="2:9" x14ac:dyDescent="0.2">
      <c r="B25" s="150" t="s">
        <v>48</v>
      </c>
      <c r="C25" s="151"/>
      <c r="D25" s="81" t="str">
        <f>IF(SUMIF('Detailed Task Estimates'!$C$14:$C$99,$B25,'Detailed Task Estimates'!$D$14:$D$99)&gt;0,SUMIF('Detailed Task Estimates'!$C$14:$C$99,$B25,'Detailed Task Estimates'!$D$14:$D$99),"")</f>
        <v/>
      </c>
      <c r="E25" s="81" t="str">
        <f>IF(SUMIF('Detailed Task Estimates'!$C$14:$C$99,$B25,'Detailed Task Estimates'!$F$14:$F$99)&gt;0,SUMIF('Detailed Task Estimates'!$C$14:$C$99,$B25,'Detailed Task Estimates'!$F$14:$F$99),"")</f>
        <v/>
      </c>
      <c r="F25" s="82" t="str">
        <f>IF(SUMIF('Detailed Task Estimates'!$C$14:$C$99,$B25,'Detailed Task Estimates'!$G$14:$G$99)&gt;0,SUMIF('Detailed Task Estimates'!$C$14:$C$99,$B25,'Detailed Task Estimates'!$G$14:$G$99),"")</f>
        <v/>
      </c>
      <c r="G25" s="76" t="s">
        <v>88</v>
      </c>
      <c r="H25" s="70" t="s">
        <v>117</v>
      </c>
      <c r="I25" s="71"/>
    </row>
    <row r="26" spans="2:9" ht="13.5" thickBot="1" x14ac:dyDescent="0.25">
      <c r="B26" s="148" t="s">
        <v>124</v>
      </c>
      <c r="C26" s="149"/>
      <c r="D26" s="83">
        <f>SUM(D3:D25)</f>
        <v>1023.0999999999999</v>
      </c>
      <c r="E26" s="83">
        <f>SUM(E3:E25)</f>
        <v>1748</v>
      </c>
      <c r="F26" s="84">
        <f>SUM(F3:F25)</f>
        <v>1232.6099999999994</v>
      </c>
      <c r="H26" s="100">
        <f>IF(F26&gt;0,SUMIF(H3:H25,"Yes",F3:F25)/F26,"")</f>
        <v>1</v>
      </c>
      <c r="I26" s="100">
        <f>IF(F26&gt;0,SUMIF(I3:I25,"Yes",F3:F25)/F26,"")</f>
        <v>0</v>
      </c>
    </row>
  </sheetData>
  <sheetProtection password="CD32" sheet="1" objects="1" scenarios="1"/>
  <mergeCells count="25">
    <mergeCell ref="B2:C2"/>
    <mergeCell ref="B8:C8"/>
    <mergeCell ref="B7:C7"/>
    <mergeCell ref="B21:C21"/>
    <mergeCell ref="B22:C22"/>
    <mergeCell ref="B16:C16"/>
    <mergeCell ref="B17:C17"/>
    <mergeCell ref="B18:C18"/>
    <mergeCell ref="B19:C19"/>
    <mergeCell ref="B20:C20"/>
    <mergeCell ref="B11:C11"/>
    <mergeCell ref="B12:C12"/>
    <mergeCell ref="B26:C26"/>
    <mergeCell ref="B13:C13"/>
    <mergeCell ref="B14:C14"/>
    <mergeCell ref="B15:C15"/>
    <mergeCell ref="B3:C3"/>
    <mergeCell ref="B4:C4"/>
    <mergeCell ref="B5:C5"/>
    <mergeCell ref="B9:C9"/>
    <mergeCell ref="B10:C10"/>
    <mergeCell ref="B6:C6"/>
    <mergeCell ref="B23:C23"/>
    <mergeCell ref="B24:C24"/>
    <mergeCell ref="B25:C25"/>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outlinePr summaryRight="0"/>
  </sheetPr>
  <dimension ref="A1:AB230"/>
  <sheetViews>
    <sheetView showGridLines="0" zoomScale="95" zoomScaleNormal="95" workbookViewId="0">
      <pane ySplit="2" topLeftCell="A3" activePane="bottomLeft" state="frozen"/>
      <selection activeCell="A2" sqref="A2:A4"/>
      <selection pane="bottomLeft" activeCell="D9" sqref="D9"/>
    </sheetView>
  </sheetViews>
  <sheetFormatPr defaultRowHeight="15" x14ac:dyDescent="0.2"/>
  <cols>
    <col min="1" max="1" width="4" style="28" customWidth="1"/>
    <col min="2" max="2" width="71" style="28" customWidth="1"/>
    <col min="3" max="3" width="22.5703125" style="28" bestFit="1" customWidth="1"/>
    <col min="4" max="4" width="11" style="28" bestFit="1" customWidth="1"/>
    <col min="5" max="5" width="11" style="28" customWidth="1"/>
    <col min="6" max="6" width="11" style="28" bestFit="1" customWidth="1"/>
    <col min="7" max="7" width="8.28515625" style="28" customWidth="1"/>
    <col min="8" max="27" width="9.140625" style="28"/>
    <col min="28" max="28" width="17.7109375" style="28" bestFit="1" customWidth="1"/>
    <col min="29" max="16384" width="9.140625" style="28"/>
  </cols>
  <sheetData>
    <row r="1" spans="1:28" ht="15" customHeight="1" x14ac:dyDescent="0.2">
      <c r="A1" s="157" t="s">
        <v>75</v>
      </c>
      <c r="B1" s="157"/>
      <c r="C1" s="157"/>
      <c r="D1" s="158" t="s">
        <v>61</v>
      </c>
      <c r="E1" s="158"/>
      <c r="F1" s="158"/>
      <c r="G1" s="158"/>
    </row>
    <row r="2" spans="1:28" ht="45" x14ac:dyDescent="0.2">
      <c r="A2" s="25" t="s">
        <v>6</v>
      </c>
      <c r="B2" s="25" t="s">
        <v>4</v>
      </c>
      <c r="C2" s="25" t="s">
        <v>33</v>
      </c>
      <c r="D2" s="26" t="s">
        <v>63</v>
      </c>
      <c r="E2" s="26" t="s">
        <v>35</v>
      </c>
      <c r="F2" s="27" t="s">
        <v>62</v>
      </c>
      <c r="G2" s="26" t="s">
        <v>64</v>
      </c>
    </row>
    <row r="3" spans="1:28" x14ac:dyDescent="0.2">
      <c r="A3" s="29">
        <v>1</v>
      </c>
      <c r="B3" s="30" t="s">
        <v>187</v>
      </c>
      <c r="C3" s="31" t="s">
        <v>10</v>
      </c>
      <c r="D3" s="32">
        <v>32</v>
      </c>
      <c r="E3" s="33">
        <v>0.4</v>
      </c>
      <c r="F3" s="34">
        <f>D3*E3</f>
        <v>12.8</v>
      </c>
      <c r="G3" s="35"/>
      <c r="AB3" s="3" t="s">
        <v>14</v>
      </c>
    </row>
    <row r="4" spans="1:28" x14ac:dyDescent="0.2">
      <c r="A4" s="29">
        <v>2</v>
      </c>
      <c r="B4" s="30" t="s">
        <v>190</v>
      </c>
      <c r="C4" s="31" t="s">
        <v>18</v>
      </c>
      <c r="D4" s="32">
        <v>50</v>
      </c>
      <c r="E4" s="33">
        <v>0.25</v>
      </c>
      <c r="F4" s="34">
        <f t="shared" ref="F4:F32" si="0">D4*E4</f>
        <v>12.5</v>
      </c>
      <c r="G4" s="35"/>
      <c r="AB4" s="1" t="s">
        <v>15</v>
      </c>
    </row>
    <row r="5" spans="1:28" ht="30" x14ac:dyDescent="0.2">
      <c r="A5" s="29">
        <v>3</v>
      </c>
      <c r="B5" s="30" t="s">
        <v>188</v>
      </c>
      <c r="C5" s="31" t="s">
        <v>19</v>
      </c>
      <c r="D5" s="32">
        <v>50</v>
      </c>
      <c r="E5" s="33">
        <v>0.25</v>
      </c>
      <c r="F5" s="34">
        <f t="shared" si="0"/>
        <v>12.5</v>
      </c>
      <c r="G5" s="35"/>
      <c r="AB5" s="1" t="s">
        <v>16</v>
      </c>
    </row>
    <row r="6" spans="1:28" ht="30" x14ac:dyDescent="0.2">
      <c r="A6" s="29">
        <v>4</v>
      </c>
      <c r="B6" s="30" t="s">
        <v>189</v>
      </c>
      <c r="C6" s="31" t="s">
        <v>19</v>
      </c>
      <c r="D6" s="32">
        <v>50</v>
      </c>
      <c r="E6" s="33">
        <v>0.25</v>
      </c>
      <c r="F6" s="34">
        <f t="shared" si="0"/>
        <v>12.5</v>
      </c>
      <c r="G6" s="35"/>
      <c r="AB6" s="1" t="s">
        <v>11</v>
      </c>
    </row>
    <row r="7" spans="1:28" x14ac:dyDescent="0.2">
      <c r="A7" s="29">
        <v>5</v>
      </c>
      <c r="B7" s="30" t="s">
        <v>191</v>
      </c>
      <c r="C7" s="31" t="s">
        <v>21</v>
      </c>
      <c r="D7" s="32">
        <v>40</v>
      </c>
      <c r="E7" s="33">
        <v>0.6</v>
      </c>
      <c r="F7" s="34">
        <f t="shared" si="0"/>
        <v>24</v>
      </c>
      <c r="G7" s="35"/>
      <c r="AB7" s="1" t="s">
        <v>17</v>
      </c>
    </row>
    <row r="8" spans="1:28" x14ac:dyDescent="0.2">
      <c r="A8" s="29">
        <v>6</v>
      </c>
      <c r="B8" s="30"/>
      <c r="C8" s="31"/>
      <c r="D8" s="32"/>
      <c r="E8" s="33"/>
      <c r="F8" s="34">
        <f t="shared" si="0"/>
        <v>0</v>
      </c>
      <c r="G8" s="35"/>
      <c r="AB8" s="1" t="s">
        <v>18</v>
      </c>
    </row>
    <row r="9" spans="1:28" x14ac:dyDescent="0.2">
      <c r="A9" s="29">
        <v>7</v>
      </c>
      <c r="B9" s="30"/>
      <c r="C9" s="31"/>
      <c r="D9" s="32"/>
      <c r="E9" s="33"/>
      <c r="F9" s="34">
        <f t="shared" si="0"/>
        <v>0</v>
      </c>
      <c r="G9" s="35"/>
      <c r="AB9" s="1" t="s">
        <v>19</v>
      </c>
    </row>
    <row r="10" spans="1:28" x14ac:dyDescent="0.2">
      <c r="A10" s="29">
        <v>8</v>
      </c>
      <c r="B10" s="30"/>
      <c r="C10" s="31"/>
      <c r="D10" s="32"/>
      <c r="E10" s="33"/>
      <c r="F10" s="34">
        <f t="shared" si="0"/>
        <v>0</v>
      </c>
      <c r="G10" s="35"/>
      <c r="AB10" s="1" t="s">
        <v>20</v>
      </c>
    </row>
    <row r="11" spans="1:28" x14ac:dyDescent="0.2">
      <c r="A11" s="29">
        <v>9</v>
      </c>
      <c r="B11" s="30"/>
      <c r="C11" s="31"/>
      <c r="D11" s="32"/>
      <c r="E11" s="33"/>
      <c r="F11" s="34">
        <f t="shared" si="0"/>
        <v>0</v>
      </c>
      <c r="G11" s="35"/>
      <c r="AB11" s="1" t="s">
        <v>10</v>
      </c>
    </row>
    <row r="12" spans="1:28" x14ac:dyDescent="0.2">
      <c r="A12" s="29">
        <v>10</v>
      </c>
      <c r="B12" s="30"/>
      <c r="C12" s="31"/>
      <c r="D12" s="32"/>
      <c r="E12" s="33"/>
      <c r="F12" s="34">
        <f t="shared" si="0"/>
        <v>0</v>
      </c>
      <c r="G12" s="35"/>
      <c r="AB12" s="1" t="s">
        <v>21</v>
      </c>
    </row>
    <row r="13" spans="1:28" x14ac:dyDescent="0.2">
      <c r="A13" s="29">
        <v>11</v>
      </c>
      <c r="B13" s="30"/>
      <c r="C13" s="31"/>
      <c r="D13" s="32"/>
      <c r="E13" s="33"/>
      <c r="F13" s="34">
        <f t="shared" si="0"/>
        <v>0</v>
      </c>
      <c r="G13" s="35"/>
    </row>
    <row r="14" spans="1:28" x14ac:dyDescent="0.2">
      <c r="A14" s="29">
        <v>12</v>
      </c>
      <c r="B14" s="30"/>
      <c r="C14" s="31"/>
      <c r="D14" s="32"/>
      <c r="E14" s="33"/>
      <c r="F14" s="34">
        <f t="shared" si="0"/>
        <v>0</v>
      </c>
      <c r="G14" s="35"/>
    </row>
    <row r="15" spans="1:28" x14ac:dyDescent="0.2">
      <c r="A15" s="29">
        <v>13</v>
      </c>
      <c r="B15" s="30"/>
      <c r="C15" s="31"/>
      <c r="D15" s="32"/>
      <c r="E15" s="33"/>
      <c r="F15" s="34">
        <f t="shared" si="0"/>
        <v>0</v>
      </c>
      <c r="G15" s="35"/>
    </row>
    <row r="16" spans="1:28" x14ac:dyDescent="0.2">
      <c r="A16" s="29">
        <v>14</v>
      </c>
      <c r="B16" s="30"/>
      <c r="C16" s="31"/>
      <c r="D16" s="32"/>
      <c r="E16" s="33"/>
      <c r="F16" s="34">
        <f t="shared" si="0"/>
        <v>0</v>
      </c>
      <c r="G16" s="35"/>
    </row>
    <row r="17" spans="1:7" x14ac:dyDescent="0.2">
      <c r="A17" s="29">
        <v>15</v>
      </c>
      <c r="B17" s="30"/>
      <c r="C17" s="31"/>
      <c r="D17" s="32"/>
      <c r="E17" s="33"/>
      <c r="F17" s="34">
        <f t="shared" si="0"/>
        <v>0</v>
      </c>
      <c r="G17" s="35"/>
    </row>
    <row r="18" spans="1:7" x14ac:dyDescent="0.2">
      <c r="A18" s="29">
        <v>16</v>
      </c>
      <c r="B18" s="30"/>
      <c r="C18" s="31"/>
      <c r="D18" s="32"/>
      <c r="E18" s="33"/>
      <c r="F18" s="34">
        <f t="shared" si="0"/>
        <v>0</v>
      </c>
      <c r="G18" s="35"/>
    </row>
    <row r="19" spans="1:7" x14ac:dyDescent="0.2">
      <c r="A19" s="29">
        <v>17</v>
      </c>
      <c r="B19" s="30"/>
      <c r="C19" s="31"/>
      <c r="D19" s="32"/>
      <c r="E19" s="33"/>
      <c r="F19" s="34">
        <f t="shared" si="0"/>
        <v>0</v>
      </c>
      <c r="G19" s="35"/>
    </row>
    <row r="20" spans="1:7" x14ac:dyDescent="0.2">
      <c r="A20" s="29">
        <v>18</v>
      </c>
      <c r="B20" s="30"/>
      <c r="C20" s="31"/>
      <c r="D20" s="32"/>
      <c r="E20" s="33"/>
      <c r="F20" s="34">
        <f t="shared" si="0"/>
        <v>0</v>
      </c>
      <c r="G20" s="35"/>
    </row>
    <row r="21" spans="1:7" x14ac:dyDescent="0.2">
      <c r="A21" s="29">
        <v>19</v>
      </c>
      <c r="B21" s="30"/>
      <c r="C21" s="31"/>
      <c r="D21" s="32"/>
      <c r="E21" s="33"/>
      <c r="F21" s="34">
        <f t="shared" si="0"/>
        <v>0</v>
      </c>
      <c r="G21" s="35"/>
    </row>
    <row r="22" spans="1:7" x14ac:dyDescent="0.2">
      <c r="A22" s="29">
        <v>20</v>
      </c>
      <c r="B22" s="30"/>
      <c r="C22" s="31"/>
      <c r="D22" s="32"/>
      <c r="E22" s="33"/>
      <c r="F22" s="34">
        <f t="shared" si="0"/>
        <v>0</v>
      </c>
      <c r="G22" s="35"/>
    </row>
    <row r="23" spans="1:7" x14ac:dyDescent="0.2">
      <c r="A23" s="29">
        <v>21</v>
      </c>
      <c r="B23" s="30"/>
      <c r="C23" s="31"/>
      <c r="D23" s="32"/>
      <c r="E23" s="33"/>
      <c r="F23" s="34">
        <f t="shared" si="0"/>
        <v>0</v>
      </c>
      <c r="G23" s="35"/>
    </row>
    <row r="24" spans="1:7" x14ac:dyDescent="0.2">
      <c r="A24" s="29">
        <v>22</v>
      </c>
      <c r="B24" s="30"/>
      <c r="C24" s="31"/>
      <c r="D24" s="32"/>
      <c r="E24" s="33"/>
      <c r="F24" s="34">
        <f t="shared" si="0"/>
        <v>0</v>
      </c>
      <c r="G24" s="35"/>
    </row>
    <row r="25" spans="1:7" x14ac:dyDescent="0.2">
      <c r="A25" s="29">
        <v>23</v>
      </c>
      <c r="B25" s="30"/>
      <c r="C25" s="31"/>
      <c r="D25" s="32"/>
      <c r="E25" s="33"/>
      <c r="F25" s="34">
        <f t="shared" si="0"/>
        <v>0</v>
      </c>
      <c r="G25" s="35"/>
    </row>
    <row r="26" spans="1:7" x14ac:dyDescent="0.2">
      <c r="A26" s="29">
        <v>24</v>
      </c>
      <c r="B26" s="30"/>
      <c r="C26" s="31"/>
      <c r="D26" s="32"/>
      <c r="E26" s="33"/>
      <c r="F26" s="34">
        <f t="shared" si="0"/>
        <v>0</v>
      </c>
      <c r="G26" s="35"/>
    </row>
    <row r="27" spans="1:7" x14ac:dyDescent="0.2">
      <c r="A27" s="29">
        <v>25</v>
      </c>
      <c r="B27" s="30"/>
      <c r="C27" s="31"/>
      <c r="D27" s="32"/>
      <c r="E27" s="33"/>
      <c r="F27" s="34">
        <f t="shared" si="0"/>
        <v>0</v>
      </c>
      <c r="G27" s="35"/>
    </row>
    <row r="28" spans="1:7" x14ac:dyDescent="0.2">
      <c r="A28" s="29">
        <v>26</v>
      </c>
      <c r="B28" s="30"/>
      <c r="C28" s="31"/>
      <c r="D28" s="32"/>
      <c r="E28" s="33"/>
      <c r="F28" s="34">
        <f t="shared" si="0"/>
        <v>0</v>
      </c>
      <c r="G28" s="35"/>
    </row>
    <row r="29" spans="1:7" x14ac:dyDescent="0.2">
      <c r="A29" s="29">
        <v>27</v>
      </c>
      <c r="B29" s="30"/>
      <c r="C29" s="31"/>
      <c r="D29" s="32"/>
      <c r="E29" s="33"/>
      <c r="F29" s="34">
        <f t="shared" si="0"/>
        <v>0</v>
      </c>
      <c r="G29" s="35"/>
    </row>
    <row r="30" spans="1:7" x14ac:dyDescent="0.2">
      <c r="A30" s="29">
        <v>28</v>
      </c>
      <c r="B30" s="30"/>
      <c r="C30" s="31"/>
      <c r="D30" s="32"/>
      <c r="E30" s="33"/>
      <c r="F30" s="34">
        <f t="shared" si="0"/>
        <v>0</v>
      </c>
      <c r="G30" s="35"/>
    </row>
    <row r="31" spans="1:7" x14ac:dyDescent="0.2">
      <c r="A31" s="29">
        <v>29</v>
      </c>
      <c r="B31" s="30"/>
      <c r="C31" s="31"/>
      <c r="D31" s="32"/>
      <c r="E31" s="33"/>
      <c r="F31" s="34">
        <f t="shared" si="0"/>
        <v>0</v>
      </c>
      <c r="G31" s="35"/>
    </row>
    <row r="32" spans="1:7" x14ac:dyDescent="0.2">
      <c r="A32" s="29">
        <v>30</v>
      </c>
      <c r="B32" s="30"/>
      <c r="C32" s="31"/>
      <c r="D32" s="32"/>
      <c r="E32" s="33"/>
      <c r="F32" s="34">
        <f t="shared" si="0"/>
        <v>0</v>
      </c>
      <c r="G32" s="35"/>
    </row>
    <row r="33" spans="1:7" x14ac:dyDescent="0.2">
      <c r="A33" s="156" t="s">
        <v>32</v>
      </c>
      <c r="B33" s="156"/>
      <c r="C33" s="156"/>
      <c r="D33" s="156"/>
      <c r="E33" s="156"/>
      <c r="F33" s="36">
        <f>SUM(F3:F32)</f>
        <v>74.3</v>
      </c>
      <c r="G33" s="37"/>
    </row>
    <row r="34" spans="1:7" x14ac:dyDescent="0.2">
      <c r="D34" s="38"/>
      <c r="E34" s="38"/>
      <c r="F34" s="38"/>
    </row>
    <row r="35" spans="1:7" x14ac:dyDescent="0.2">
      <c r="B35" s="39" t="s">
        <v>31</v>
      </c>
      <c r="E35" s="38"/>
      <c r="F35" s="38"/>
    </row>
    <row r="36" spans="1:7" x14ac:dyDescent="0.2">
      <c r="B36" s="40" t="s">
        <v>7</v>
      </c>
      <c r="C36" s="41" t="s">
        <v>52</v>
      </c>
      <c r="D36" s="42" t="s">
        <v>23</v>
      </c>
      <c r="E36" s="38"/>
      <c r="F36" s="38"/>
    </row>
    <row r="37" spans="1:7" x14ac:dyDescent="0.2">
      <c r="B37" s="43" t="s">
        <v>15</v>
      </c>
      <c r="C37" s="44">
        <f t="shared" ref="C37:C45" si="1">SUMIF($C$3:$C$32,B37,$F$3:$F$32)</f>
        <v>0</v>
      </c>
      <c r="D37" s="45">
        <f t="shared" ref="D37:D46" si="2">IF($C$47=0,0,C37/$C$47)</f>
        <v>0</v>
      </c>
      <c r="E37" s="38"/>
      <c r="F37" s="38"/>
    </row>
    <row r="38" spans="1:7" x14ac:dyDescent="0.2">
      <c r="B38" s="43" t="s">
        <v>16</v>
      </c>
      <c r="C38" s="44">
        <f t="shared" si="1"/>
        <v>0</v>
      </c>
      <c r="D38" s="45">
        <f t="shared" si="2"/>
        <v>0</v>
      </c>
      <c r="E38" s="38"/>
      <c r="F38" s="38"/>
    </row>
    <row r="39" spans="1:7" x14ac:dyDescent="0.2">
      <c r="B39" s="43" t="s">
        <v>11</v>
      </c>
      <c r="C39" s="44">
        <f t="shared" si="1"/>
        <v>0</v>
      </c>
      <c r="D39" s="45">
        <f t="shared" si="2"/>
        <v>0</v>
      </c>
      <c r="E39" s="38"/>
      <c r="F39" s="38"/>
    </row>
    <row r="40" spans="1:7" x14ac:dyDescent="0.2">
      <c r="B40" s="43" t="s">
        <v>17</v>
      </c>
      <c r="C40" s="44">
        <f t="shared" si="1"/>
        <v>0</v>
      </c>
      <c r="D40" s="45">
        <f t="shared" si="2"/>
        <v>0</v>
      </c>
      <c r="E40" s="38"/>
      <c r="F40" s="38"/>
    </row>
    <row r="41" spans="1:7" x14ac:dyDescent="0.2">
      <c r="B41" s="43" t="s">
        <v>18</v>
      </c>
      <c r="C41" s="44">
        <f t="shared" si="1"/>
        <v>12.5</v>
      </c>
      <c r="D41" s="45">
        <f t="shared" si="2"/>
        <v>0.16823687752355318</v>
      </c>
      <c r="E41" s="38"/>
      <c r="F41" s="38"/>
    </row>
    <row r="42" spans="1:7" x14ac:dyDescent="0.2">
      <c r="B42" s="43" t="s">
        <v>19</v>
      </c>
      <c r="C42" s="44">
        <f t="shared" si="1"/>
        <v>25</v>
      </c>
      <c r="D42" s="45">
        <f t="shared" si="2"/>
        <v>0.33647375504710636</v>
      </c>
      <c r="E42" s="38"/>
      <c r="F42" s="38"/>
    </row>
    <row r="43" spans="1:7" x14ac:dyDescent="0.2">
      <c r="B43" s="43" t="s">
        <v>20</v>
      </c>
      <c r="C43" s="44">
        <f t="shared" si="1"/>
        <v>0</v>
      </c>
      <c r="D43" s="45">
        <f t="shared" si="2"/>
        <v>0</v>
      </c>
      <c r="E43" s="38"/>
      <c r="F43" s="38"/>
    </row>
    <row r="44" spans="1:7" x14ac:dyDescent="0.2">
      <c r="B44" s="43" t="s">
        <v>10</v>
      </c>
      <c r="C44" s="44">
        <f t="shared" si="1"/>
        <v>12.8</v>
      </c>
      <c r="D44" s="45">
        <f t="shared" si="2"/>
        <v>0.17227456258411847</v>
      </c>
      <c r="E44" s="38"/>
      <c r="F44" s="38"/>
    </row>
    <row r="45" spans="1:7" x14ac:dyDescent="0.2">
      <c r="B45" s="43" t="s">
        <v>21</v>
      </c>
      <c r="C45" s="44">
        <f t="shared" si="1"/>
        <v>24</v>
      </c>
      <c r="D45" s="45">
        <f t="shared" si="2"/>
        <v>0.3230148048452221</v>
      </c>
      <c r="E45" s="38"/>
      <c r="F45" s="38"/>
    </row>
    <row r="46" spans="1:7" x14ac:dyDescent="0.2">
      <c r="B46" s="43" t="s">
        <v>29</v>
      </c>
      <c r="C46" s="44">
        <f>SUMIF($C$3:$C$32,"",$F$3:$F$32)</f>
        <v>0</v>
      </c>
      <c r="D46" s="45">
        <f t="shared" si="2"/>
        <v>0</v>
      </c>
      <c r="E46" s="38"/>
      <c r="F46" s="38"/>
    </row>
    <row r="47" spans="1:7" x14ac:dyDescent="0.2">
      <c r="B47" s="46" t="s">
        <v>22</v>
      </c>
      <c r="C47" s="47">
        <f>SUM(C37:C46)</f>
        <v>74.3</v>
      </c>
      <c r="D47" s="48">
        <f>SUM(D37:D46)</f>
        <v>1</v>
      </c>
      <c r="E47" s="38"/>
      <c r="F47" s="38"/>
    </row>
    <row r="48" spans="1:7" x14ac:dyDescent="0.2">
      <c r="D48" s="38"/>
      <c r="E48" s="38"/>
      <c r="F48" s="38"/>
    </row>
    <row r="49" spans="4:6" x14ac:dyDescent="0.2">
      <c r="D49" s="38"/>
      <c r="E49" s="38"/>
      <c r="F49" s="38"/>
    </row>
    <row r="50" spans="4:6" x14ac:dyDescent="0.2">
      <c r="D50" s="38"/>
      <c r="E50" s="38"/>
      <c r="F50" s="38"/>
    </row>
    <row r="51" spans="4:6" x14ac:dyDescent="0.2">
      <c r="D51" s="38"/>
      <c r="E51" s="38"/>
      <c r="F51" s="38"/>
    </row>
    <row r="52" spans="4:6" x14ac:dyDescent="0.2">
      <c r="D52" s="38"/>
      <c r="E52" s="38"/>
      <c r="F52" s="38"/>
    </row>
    <row r="53" spans="4:6" x14ac:dyDescent="0.2">
      <c r="D53" s="38"/>
      <c r="E53" s="38"/>
      <c r="F53" s="38"/>
    </row>
    <row r="54" spans="4:6" x14ac:dyDescent="0.2">
      <c r="D54" s="38"/>
      <c r="E54" s="38"/>
      <c r="F54" s="38"/>
    </row>
    <row r="55" spans="4:6" x14ac:dyDescent="0.2">
      <c r="D55" s="38"/>
      <c r="E55" s="38"/>
      <c r="F55" s="38"/>
    </row>
    <row r="56" spans="4:6" x14ac:dyDescent="0.2">
      <c r="D56" s="38"/>
      <c r="E56" s="38"/>
      <c r="F56" s="38"/>
    </row>
    <row r="57" spans="4:6" x14ac:dyDescent="0.2">
      <c r="D57" s="38"/>
      <c r="E57" s="38"/>
      <c r="F57" s="38"/>
    </row>
    <row r="58" spans="4:6" x14ac:dyDescent="0.2">
      <c r="D58" s="38"/>
      <c r="E58" s="38"/>
      <c r="F58" s="38"/>
    </row>
    <row r="59" spans="4:6" x14ac:dyDescent="0.2">
      <c r="D59" s="38"/>
      <c r="E59" s="38"/>
      <c r="F59" s="38"/>
    </row>
    <row r="60" spans="4:6" x14ac:dyDescent="0.2">
      <c r="D60" s="38"/>
      <c r="E60" s="38"/>
      <c r="F60" s="38"/>
    </row>
    <row r="61" spans="4:6" x14ac:dyDescent="0.2">
      <c r="D61" s="38"/>
      <c r="E61" s="38"/>
      <c r="F61" s="38"/>
    </row>
    <row r="62" spans="4:6" x14ac:dyDescent="0.2">
      <c r="D62" s="38"/>
      <c r="E62" s="38"/>
      <c r="F62" s="38"/>
    </row>
    <row r="63" spans="4:6" x14ac:dyDescent="0.2">
      <c r="D63" s="38"/>
      <c r="E63" s="38"/>
      <c r="F63" s="38"/>
    </row>
    <row r="64" spans="4:6" x14ac:dyDescent="0.2">
      <c r="D64" s="38"/>
      <c r="E64" s="38"/>
      <c r="F64" s="38"/>
    </row>
    <row r="65" spans="4:6" x14ac:dyDescent="0.2">
      <c r="D65" s="38"/>
      <c r="E65" s="38"/>
      <c r="F65" s="38"/>
    </row>
    <row r="66" spans="4:6" x14ac:dyDescent="0.2">
      <c r="D66" s="38"/>
      <c r="E66" s="38"/>
      <c r="F66" s="38"/>
    </row>
    <row r="67" spans="4:6" x14ac:dyDescent="0.2">
      <c r="D67" s="38"/>
      <c r="E67" s="38"/>
      <c r="F67" s="38"/>
    </row>
    <row r="68" spans="4:6" x14ac:dyDescent="0.2">
      <c r="D68" s="38"/>
      <c r="E68" s="38"/>
      <c r="F68" s="38"/>
    </row>
    <row r="69" spans="4:6" x14ac:dyDescent="0.2">
      <c r="D69" s="38"/>
      <c r="E69" s="38"/>
      <c r="F69" s="38"/>
    </row>
    <row r="70" spans="4:6" x14ac:dyDescent="0.2">
      <c r="D70" s="38"/>
      <c r="E70" s="38"/>
      <c r="F70" s="38"/>
    </row>
    <row r="71" spans="4:6" x14ac:dyDescent="0.2">
      <c r="D71" s="38"/>
      <c r="E71" s="38"/>
      <c r="F71" s="38"/>
    </row>
    <row r="72" spans="4:6" x14ac:dyDescent="0.2">
      <c r="D72" s="38"/>
      <c r="E72" s="38"/>
      <c r="F72" s="38"/>
    </row>
    <row r="73" spans="4:6" x14ac:dyDescent="0.2">
      <c r="D73" s="38"/>
      <c r="E73" s="38"/>
      <c r="F73" s="38"/>
    </row>
    <row r="74" spans="4:6" x14ac:dyDescent="0.2">
      <c r="D74" s="38"/>
      <c r="E74" s="38"/>
      <c r="F74" s="38"/>
    </row>
    <row r="75" spans="4:6" x14ac:dyDescent="0.2">
      <c r="D75" s="38"/>
      <c r="E75" s="38"/>
      <c r="F75" s="38"/>
    </row>
    <row r="76" spans="4:6" x14ac:dyDescent="0.2">
      <c r="D76" s="38"/>
      <c r="E76" s="38"/>
      <c r="F76" s="38"/>
    </row>
    <row r="77" spans="4:6" x14ac:dyDescent="0.2">
      <c r="D77" s="38"/>
      <c r="E77" s="38"/>
      <c r="F77" s="38"/>
    </row>
    <row r="78" spans="4:6" x14ac:dyDescent="0.2">
      <c r="D78" s="38"/>
      <c r="E78" s="38"/>
      <c r="F78" s="38"/>
    </row>
    <row r="79" spans="4:6" x14ac:dyDescent="0.2">
      <c r="D79" s="38"/>
      <c r="E79" s="38"/>
      <c r="F79" s="38"/>
    </row>
    <row r="80" spans="4:6" x14ac:dyDescent="0.2">
      <c r="D80" s="38"/>
      <c r="E80" s="38"/>
      <c r="F80" s="38"/>
    </row>
    <row r="81" spans="4:6" x14ac:dyDescent="0.2">
      <c r="D81" s="38"/>
      <c r="E81" s="38"/>
      <c r="F81" s="38"/>
    </row>
    <row r="82" spans="4:6" x14ac:dyDescent="0.2">
      <c r="D82" s="38"/>
      <c r="E82" s="38"/>
      <c r="F82" s="38"/>
    </row>
    <row r="83" spans="4:6" x14ac:dyDescent="0.2">
      <c r="D83" s="38"/>
      <c r="E83" s="38"/>
      <c r="F83" s="38"/>
    </row>
    <row r="84" spans="4:6" x14ac:dyDescent="0.2">
      <c r="D84" s="38"/>
      <c r="E84" s="38"/>
      <c r="F84" s="38"/>
    </row>
    <row r="85" spans="4:6" x14ac:dyDescent="0.2">
      <c r="D85" s="38"/>
      <c r="E85" s="38"/>
      <c r="F85" s="38"/>
    </row>
    <row r="86" spans="4:6" x14ac:dyDescent="0.2">
      <c r="D86" s="38"/>
      <c r="E86" s="38"/>
      <c r="F86" s="38"/>
    </row>
    <row r="87" spans="4:6" x14ac:dyDescent="0.2">
      <c r="D87" s="38"/>
      <c r="E87" s="38"/>
      <c r="F87" s="38"/>
    </row>
    <row r="88" spans="4:6" x14ac:dyDescent="0.2">
      <c r="D88" s="38"/>
      <c r="E88" s="38"/>
      <c r="F88" s="38"/>
    </row>
    <row r="89" spans="4:6" x14ac:dyDescent="0.2">
      <c r="D89" s="38"/>
      <c r="E89" s="38"/>
      <c r="F89" s="38"/>
    </row>
    <row r="90" spans="4:6" x14ac:dyDescent="0.2">
      <c r="D90" s="38"/>
      <c r="E90" s="38"/>
      <c r="F90" s="38"/>
    </row>
    <row r="91" spans="4:6" x14ac:dyDescent="0.2">
      <c r="D91" s="38"/>
      <c r="E91" s="38"/>
      <c r="F91" s="38"/>
    </row>
    <row r="92" spans="4:6" x14ac:dyDescent="0.2">
      <c r="D92" s="38"/>
      <c r="E92" s="38"/>
      <c r="F92" s="38"/>
    </row>
    <row r="93" spans="4:6" x14ac:dyDescent="0.2">
      <c r="D93" s="38"/>
      <c r="E93" s="38"/>
      <c r="F93" s="38"/>
    </row>
    <row r="94" spans="4:6" x14ac:dyDescent="0.2">
      <c r="D94" s="38"/>
      <c r="E94" s="38"/>
      <c r="F94" s="38"/>
    </row>
    <row r="95" spans="4:6" x14ac:dyDescent="0.2">
      <c r="D95" s="38"/>
      <c r="E95" s="38"/>
      <c r="F95" s="38"/>
    </row>
    <row r="96" spans="4:6" x14ac:dyDescent="0.2">
      <c r="D96" s="38"/>
      <c r="E96" s="38"/>
      <c r="F96" s="38"/>
    </row>
    <row r="97" spans="4:6" x14ac:dyDescent="0.2">
      <c r="D97" s="38"/>
      <c r="E97" s="38"/>
      <c r="F97" s="38"/>
    </row>
    <row r="98" spans="4:6" x14ac:dyDescent="0.2">
      <c r="D98" s="38"/>
      <c r="E98" s="38"/>
      <c r="F98" s="38"/>
    </row>
    <row r="99" spans="4:6" x14ac:dyDescent="0.2">
      <c r="D99" s="38"/>
      <c r="E99" s="38"/>
      <c r="F99" s="38"/>
    </row>
    <row r="100" spans="4:6" x14ac:dyDescent="0.2">
      <c r="D100" s="38"/>
      <c r="E100" s="38"/>
      <c r="F100" s="38"/>
    </row>
    <row r="101" spans="4:6" x14ac:dyDescent="0.2">
      <c r="D101" s="38"/>
      <c r="E101" s="38"/>
      <c r="F101" s="38"/>
    </row>
    <row r="102" spans="4:6" x14ac:dyDescent="0.2">
      <c r="D102" s="38"/>
      <c r="E102" s="38"/>
      <c r="F102" s="38"/>
    </row>
    <row r="103" spans="4:6" x14ac:dyDescent="0.2">
      <c r="D103" s="38"/>
      <c r="E103" s="38"/>
      <c r="F103" s="38"/>
    </row>
    <row r="104" spans="4:6" x14ac:dyDescent="0.2">
      <c r="D104" s="38"/>
      <c r="E104" s="38"/>
      <c r="F104" s="38"/>
    </row>
    <row r="105" spans="4:6" x14ac:dyDescent="0.2">
      <c r="D105" s="38"/>
      <c r="E105" s="38"/>
      <c r="F105" s="38"/>
    </row>
    <row r="106" spans="4:6" x14ac:dyDescent="0.2">
      <c r="D106" s="38"/>
      <c r="E106" s="38"/>
      <c r="F106" s="38"/>
    </row>
    <row r="107" spans="4:6" x14ac:dyDescent="0.2">
      <c r="D107" s="38"/>
      <c r="E107" s="38"/>
      <c r="F107" s="38"/>
    </row>
    <row r="108" spans="4:6" x14ac:dyDescent="0.2">
      <c r="D108" s="38"/>
      <c r="E108" s="38"/>
      <c r="F108" s="38"/>
    </row>
    <row r="109" spans="4:6" x14ac:dyDescent="0.2">
      <c r="D109" s="38"/>
      <c r="E109" s="38"/>
      <c r="F109" s="38"/>
    </row>
    <row r="110" spans="4:6" x14ac:dyDescent="0.2">
      <c r="D110" s="38"/>
      <c r="E110" s="38"/>
      <c r="F110" s="38"/>
    </row>
    <row r="111" spans="4:6" x14ac:dyDescent="0.2">
      <c r="D111" s="38"/>
      <c r="E111" s="38"/>
      <c r="F111" s="38"/>
    </row>
    <row r="112" spans="4:6" x14ac:dyDescent="0.2">
      <c r="D112" s="38"/>
      <c r="E112" s="38"/>
      <c r="F112" s="38"/>
    </row>
    <row r="113" spans="4:6" x14ac:dyDescent="0.2">
      <c r="D113" s="38"/>
      <c r="E113" s="38"/>
      <c r="F113" s="38"/>
    </row>
    <row r="114" spans="4:6" x14ac:dyDescent="0.2">
      <c r="D114" s="38"/>
      <c r="E114" s="38"/>
      <c r="F114" s="38"/>
    </row>
    <row r="115" spans="4:6" x14ac:dyDescent="0.2">
      <c r="D115" s="38"/>
      <c r="E115" s="38"/>
      <c r="F115" s="38"/>
    </row>
    <row r="116" spans="4:6" x14ac:dyDescent="0.2">
      <c r="D116" s="38"/>
      <c r="E116" s="38"/>
      <c r="F116" s="38"/>
    </row>
    <row r="117" spans="4:6" x14ac:dyDescent="0.2">
      <c r="D117" s="38"/>
      <c r="E117" s="38"/>
      <c r="F117" s="38"/>
    </row>
    <row r="118" spans="4:6" x14ac:dyDescent="0.2">
      <c r="D118" s="38"/>
      <c r="E118" s="38"/>
      <c r="F118" s="38"/>
    </row>
    <row r="119" spans="4:6" x14ac:dyDescent="0.2">
      <c r="D119" s="38"/>
      <c r="E119" s="38"/>
      <c r="F119" s="38"/>
    </row>
    <row r="120" spans="4:6" x14ac:dyDescent="0.2">
      <c r="D120" s="38"/>
      <c r="E120" s="38"/>
      <c r="F120" s="38"/>
    </row>
    <row r="121" spans="4:6" x14ac:dyDescent="0.2">
      <c r="D121" s="38"/>
      <c r="E121" s="38"/>
      <c r="F121" s="38"/>
    </row>
    <row r="122" spans="4:6" x14ac:dyDescent="0.2">
      <c r="D122" s="38"/>
      <c r="E122" s="38"/>
      <c r="F122" s="38"/>
    </row>
    <row r="123" spans="4:6" x14ac:dyDescent="0.2">
      <c r="D123" s="38"/>
      <c r="E123" s="38"/>
      <c r="F123" s="38"/>
    </row>
    <row r="124" spans="4:6" x14ac:dyDescent="0.2">
      <c r="D124" s="38"/>
      <c r="E124" s="38"/>
      <c r="F124" s="38"/>
    </row>
    <row r="125" spans="4:6" x14ac:dyDescent="0.2">
      <c r="D125" s="38"/>
      <c r="E125" s="38"/>
      <c r="F125" s="38"/>
    </row>
    <row r="126" spans="4:6" x14ac:dyDescent="0.2">
      <c r="D126" s="38"/>
      <c r="E126" s="38"/>
      <c r="F126" s="38"/>
    </row>
    <row r="127" spans="4:6" x14ac:dyDescent="0.2">
      <c r="D127" s="38"/>
      <c r="E127" s="38"/>
      <c r="F127" s="38"/>
    </row>
    <row r="128" spans="4:6" x14ac:dyDescent="0.2">
      <c r="D128" s="38"/>
      <c r="E128" s="38"/>
      <c r="F128" s="38"/>
    </row>
    <row r="129" spans="4:6" x14ac:dyDescent="0.2">
      <c r="D129" s="38"/>
      <c r="E129" s="38"/>
      <c r="F129" s="38"/>
    </row>
    <row r="130" spans="4:6" x14ac:dyDescent="0.2">
      <c r="D130" s="38"/>
      <c r="E130" s="38"/>
      <c r="F130" s="38"/>
    </row>
    <row r="131" spans="4:6" x14ac:dyDescent="0.2">
      <c r="D131" s="38"/>
      <c r="E131" s="38"/>
      <c r="F131" s="38"/>
    </row>
    <row r="132" spans="4:6" x14ac:dyDescent="0.2">
      <c r="D132" s="38"/>
      <c r="E132" s="38"/>
      <c r="F132" s="38"/>
    </row>
    <row r="133" spans="4:6" x14ac:dyDescent="0.2">
      <c r="D133" s="38"/>
      <c r="E133" s="38"/>
      <c r="F133" s="38"/>
    </row>
    <row r="134" spans="4:6" x14ac:dyDescent="0.2">
      <c r="D134" s="38"/>
      <c r="E134" s="38"/>
      <c r="F134" s="38"/>
    </row>
    <row r="135" spans="4:6" x14ac:dyDescent="0.2">
      <c r="D135" s="38"/>
      <c r="E135" s="38"/>
      <c r="F135" s="38"/>
    </row>
    <row r="136" spans="4:6" x14ac:dyDescent="0.2">
      <c r="D136" s="38"/>
      <c r="E136" s="38"/>
      <c r="F136" s="38"/>
    </row>
    <row r="137" spans="4:6" x14ac:dyDescent="0.2">
      <c r="D137" s="38"/>
      <c r="E137" s="38"/>
      <c r="F137" s="38"/>
    </row>
    <row r="138" spans="4:6" x14ac:dyDescent="0.2">
      <c r="D138" s="38"/>
      <c r="E138" s="38"/>
      <c r="F138" s="38"/>
    </row>
    <row r="139" spans="4:6" x14ac:dyDescent="0.2">
      <c r="D139" s="38"/>
      <c r="E139" s="38"/>
      <c r="F139" s="38"/>
    </row>
    <row r="140" spans="4:6" x14ac:dyDescent="0.2">
      <c r="D140" s="38"/>
      <c r="E140" s="38"/>
      <c r="F140" s="38"/>
    </row>
    <row r="141" spans="4:6" x14ac:dyDescent="0.2">
      <c r="D141" s="38"/>
      <c r="E141" s="38"/>
      <c r="F141" s="38"/>
    </row>
    <row r="142" spans="4:6" x14ac:dyDescent="0.2">
      <c r="D142" s="38"/>
      <c r="E142" s="38"/>
      <c r="F142" s="38"/>
    </row>
    <row r="143" spans="4:6" x14ac:dyDescent="0.2">
      <c r="D143" s="38"/>
      <c r="E143" s="38"/>
      <c r="F143" s="38"/>
    </row>
    <row r="144" spans="4:6" x14ac:dyDescent="0.2">
      <c r="D144" s="38"/>
      <c r="E144" s="38"/>
      <c r="F144" s="38"/>
    </row>
    <row r="145" spans="4:6" x14ac:dyDescent="0.2">
      <c r="D145" s="38"/>
      <c r="E145" s="38"/>
      <c r="F145" s="38"/>
    </row>
    <row r="146" spans="4:6" x14ac:dyDescent="0.2">
      <c r="D146" s="38"/>
      <c r="E146" s="38"/>
      <c r="F146" s="38"/>
    </row>
    <row r="147" spans="4:6" x14ac:dyDescent="0.2">
      <c r="D147" s="38"/>
      <c r="E147" s="38"/>
      <c r="F147" s="38"/>
    </row>
    <row r="148" spans="4:6" x14ac:dyDescent="0.2">
      <c r="D148" s="38"/>
      <c r="E148" s="38"/>
      <c r="F148" s="38"/>
    </row>
    <row r="149" spans="4:6" x14ac:dyDescent="0.2">
      <c r="D149" s="38"/>
      <c r="E149" s="38"/>
      <c r="F149" s="38"/>
    </row>
    <row r="150" spans="4:6" x14ac:dyDescent="0.2">
      <c r="D150" s="38"/>
      <c r="E150" s="38"/>
      <c r="F150" s="38"/>
    </row>
    <row r="151" spans="4:6" x14ac:dyDescent="0.2">
      <c r="D151" s="38"/>
      <c r="E151" s="38"/>
      <c r="F151" s="38"/>
    </row>
    <row r="152" spans="4:6" x14ac:dyDescent="0.2">
      <c r="D152" s="38"/>
      <c r="E152" s="38"/>
      <c r="F152" s="38"/>
    </row>
    <row r="153" spans="4:6" x14ac:dyDescent="0.2">
      <c r="D153" s="38"/>
      <c r="E153" s="38"/>
      <c r="F153" s="38"/>
    </row>
    <row r="154" spans="4:6" x14ac:dyDescent="0.2">
      <c r="D154" s="38"/>
      <c r="E154" s="38"/>
      <c r="F154" s="38"/>
    </row>
    <row r="155" spans="4:6" x14ac:dyDescent="0.2">
      <c r="D155" s="38"/>
      <c r="E155" s="38"/>
      <c r="F155" s="38"/>
    </row>
    <row r="156" spans="4:6" x14ac:dyDescent="0.2">
      <c r="D156" s="38"/>
      <c r="E156" s="38"/>
      <c r="F156" s="38"/>
    </row>
    <row r="157" spans="4:6" x14ac:dyDescent="0.2">
      <c r="D157" s="38"/>
      <c r="E157" s="38"/>
      <c r="F157" s="38"/>
    </row>
    <row r="158" spans="4:6" x14ac:dyDescent="0.2">
      <c r="D158" s="38"/>
      <c r="E158" s="38"/>
      <c r="F158" s="38"/>
    </row>
    <row r="159" spans="4:6" x14ac:dyDescent="0.2">
      <c r="D159" s="38"/>
      <c r="E159" s="38"/>
      <c r="F159" s="38"/>
    </row>
    <row r="160" spans="4:6" x14ac:dyDescent="0.2">
      <c r="D160" s="38"/>
      <c r="E160" s="38"/>
      <c r="F160" s="38"/>
    </row>
    <row r="161" spans="4:6" x14ac:dyDescent="0.2">
      <c r="D161" s="38"/>
      <c r="E161" s="38"/>
      <c r="F161" s="38"/>
    </row>
    <row r="162" spans="4:6" x14ac:dyDescent="0.2">
      <c r="D162" s="38"/>
      <c r="E162" s="38"/>
      <c r="F162" s="38"/>
    </row>
    <row r="163" spans="4:6" x14ac:dyDescent="0.2">
      <c r="D163" s="38"/>
      <c r="E163" s="38"/>
      <c r="F163" s="38"/>
    </row>
    <row r="164" spans="4:6" x14ac:dyDescent="0.2">
      <c r="D164" s="38"/>
      <c r="E164" s="38"/>
      <c r="F164" s="38"/>
    </row>
    <row r="165" spans="4:6" x14ac:dyDescent="0.2">
      <c r="D165" s="38"/>
      <c r="E165" s="38"/>
      <c r="F165" s="38"/>
    </row>
    <row r="166" spans="4:6" x14ac:dyDescent="0.2">
      <c r="D166" s="38"/>
      <c r="E166" s="38"/>
      <c r="F166" s="38"/>
    </row>
    <row r="167" spans="4:6" x14ac:dyDescent="0.2">
      <c r="D167" s="38"/>
      <c r="E167" s="38"/>
      <c r="F167" s="38"/>
    </row>
    <row r="168" spans="4:6" x14ac:dyDescent="0.2">
      <c r="D168" s="38"/>
      <c r="E168" s="38"/>
      <c r="F168" s="38"/>
    </row>
    <row r="169" spans="4:6" x14ac:dyDescent="0.2">
      <c r="D169" s="38"/>
      <c r="E169" s="38"/>
      <c r="F169" s="38"/>
    </row>
    <row r="170" spans="4:6" x14ac:dyDescent="0.2">
      <c r="D170" s="38"/>
      <c r="E170" s="38"/>
      <c r="F170" s="38"/>
    </row>
    <row r="171" spans="4:6" x14ac:dyDescent="0.2">
      <c r="D171" s="38"/>
      <c r="E171" s="38"/>
      <c r="F171" s="38"/>
    </row>
    <row r="172" spans="4:6" x14ac:dyDescent="0.2">
      <c r="D172" s="38"/>
      <c r="E172" s="38"/>
      <c r="F172" s="38"/>
    </row>
    <row r="173" spans="4:6" x14ac:dyDescent="0.2">
      <c r="D173" s="38"/>
      <c r="E173" s="38"/>
      <c r="F173" s="38"/>
    </row>
    <row r="174" spans="4:6" x14ac:dyDescent="0.2">
      <c r="D174" s="38"/>
      <c r="E174" s="38"/>
      <c r="F174" s="38"/>
    </row>
    <row r="175" spans="4:6" x14ac:dyDescent="0.2">
      <c r="D175" s="38"/>
      <c r="E175" s="38"/>
      <c r="F175" s="38"/>
    </row>
    <row r="176" spans="4:6" x14ac:dyDescent="0.2">
      <c r="D176" s="38"/>
      <c r="E176" s="38"/>
      <c r="F176" s="38"/>
    </row>
    <row r="177" spans="4:6" x14ac:dyDescent="0.2">
      <c r="D177" s="38"/>
      <c r="E177" s="38"/>
      <c r="F177" s="38"/>
    </row>
    <row r="178" spans="4:6" x14ac:dyDescent="0.2">
      <c r="D178" s="38"/>
      <c r="E178" s="38"/>
      <c r="F178" s="38"/>
    </row>
    <row r="179" spans="4:6" x14ac:dyDescent="0.2">
      <c r="D179" s="38"/>
      <c r="E179" s="38"/>
      <c r="F179" s="38"/>
    </row>
    <row r="180" spans="4:6" x14ac:dyDescent="0.2">
      <c r="D180" s="38"/>
      <c r="E180" s="38"/>
      <c r="F180" s="38"/>
    </row>
    <row r="181" spans="4:6" x14ac:dyDescent="0.2">
      <c r="D181" s="38"/>
      <c r="E181" s="38"/>
      <c r="F181" s="38"/>
    </row>
    <row r="182" spans="4:6" x14ac:dyDescent="0.2">
      <c r="D182" s="38"/>
      <c r="E182" s="38"/>
      <c r="F182" s="38"/>
    </row>
    <row r="183" spans="4:6" x14ac:dyDescent="0.2">
      <c r="D183" s="38"/>
      <c r="E183" s="38"/>
      <c r="F183" s="38"/>
    </row>
    <row r="184" spans="4:6" x14ac:dyDescent="0.2">
      <c r="D184" s="38"/>
      <c r="E184" s="38"/>
      <c r="F184" s="38"/>
    </row>
    <row r="185" spans="4:6" x14ac:dyDescent="0.2">
      <c r="D185" s="38"/>
      <c r="E185" s="38"/>
      <c r="F185" s="38"/>
    </row>
    <row r="186" spans="4:6" x14ac:dyDescent="0.2">
      <c r="D186" s="38"/>
      <c r="E186" s="38"/>
      <c r="F186" s="38"/>
    </row>
    <row r="187" spans="4:6" x14ac:dyDescent="0.2">
      <c r="D187" s="38"/>
      <c r="E187" s="38"/>
      <c r="F187" s="38"/>
    </row>
    <row r="188" spans="4:6" x14ac:dyDescent="0.2">
      <c r="D188" s="38"/>
      <c r="E188" s="38"/>
      <c r="F188" s="38"/>
    </row>
    <row r="189" spans="4:6" x14ac:dyDescent="0.2">
      <c r="D189" s="38"/>
      <c r="E189" s="38"/>
      <c r="F189" s="38"/>
    </row>
    <row r="190" spans="4:6" x14ac:dyDescent="0.2">
      <c r="D190" s="38"/>
      <c r="E190" s="38"/>
      <c r="F190" s="38"/>
    </row>
    <row r="191" spans="4:6" x14ac:dyDescent="0.2">
      <c r="D191" s="38"/>
      <c r="E191" s="38"/>
      <c r="F191" s="38"/>
    </row>
    <row r="192" spans="4:6" x14ac:dyDescent="0.2">
      <c r="D192" s="38"/>
      <c r="E192" s="38"/>
      <c r="F192" s="38"/>
    </row>
    <row r="193" spans="4:6" x14ac:dyDescent="0.2">
      <c r="D193" s="38"/>
      <c r="E193" s="38"/>
      <c r="F193" s="38"/>
    </row>
    <row r="194" spans="4:6" x14ac:dyDescent="0.2">
      <c r="D194" s="38"/>
      <c r="E194" s="38"/>
      <c r="F194" s="38"/>
    </row>
    <row r="195" spans="4:6" x14ac:dyDescent="0.2">
      <c r="D195" s="38"/>
      <c r="E195" s="38"/>
      <c r="F195" s="38"/>
    </row>
    <row r="196" spans="4:6" x14ac:dyDescent="0.2">
      <c r="D196" s="38"/>
      <c r="E196" s="38"/>
      <c r="F196" s="38"/>
    </row>
    <row r="197" spans="4:6" x14ac:dyDescent="0.2">
      <c r="D197" s="38"/>
      <c r="E197" s="38"/>
      <c r="F197" s="38"/>
    </row>
    <row r="198" spans="4:6" x14ac:dyDescent="0.2">
      <c r="D198" s="38"/>
      <c r="E198" s="38"/>
      <c r="F198" s="38"/>
    </row>
    <row r="199" spans="4:6" x14ac:dyDescent="0.2">
      <c r="D199" s="38"/>
      <c r="E199" s="38"/>
      <c r="F199" s="38"/>
    </row>
    <row r="200" spans="4:6" x14ac:dyDescent="0.2">
      <c r="D200" s="38"/>
      <c r="E200" s="38"/>
      <c r="F200" s="38"/>
    </row>
    <row r="201" spans="4:6" x14ac:dyDescent="0.2">
      <c r="D201" s="38"/>
      <c r="E201" s="38"/>
      <c r="F201" s="38"/>
    </row>
    <row r="202" spans="4:6" x14ac:dyDescent="0.2">
      <c r="D202" s="38"/>
      <c r="E202" s="38"/>
      <c r="F202" s="38"/>
    </row>
    <row r="203" spans="4:6" x14ac:dyDescent="0.2">
      <c r="D203" s="38"/>
      <c r="E203" s="38"/>
      <c r="F203" s="38"/>
    </row>
    <row r="204" spans="4:6" x14ac:dyDescent="0.2">
      <c r="D204" s="38"/>
      <c r="E204" s="38"/>
      <c r="F204" s="38"/>
    </row>
    <row r="205" spans="4:6" x14ac:dyDescent="0.2">
      <c r="D205" s="38"/>
      <c r="E205" s="38"/>
      <c r="F205" s="38"/>
    </row>
    <row r="206" spans="4:6" x14ac:dyDescent="0.2">
      <c r="D206" s="38"/>
      <c r="E206" s="38"/>
      <c r="F206" s="38"/>
    </row>
    <row r="207" spans="4:6" x14ac:dyDescent="0.2">
      <c r="D207" s="38"/>
      <c r="E207" s="38"/>
      <c r="F207" s="38"/>
    </row>
    <row r="208" spans="4:6" x14ac:dyDescent="0.2">
      <c r="D208" s="38"/>
      <c r="E208" s="38"/>
      <c r="F208" s="38"/>
    </row>
    <row r="209" spans="4:6" x14ac:dyDescent="0.2">
      <c r="D209" s="38"/>
      <c r="E209" s="38"/>
      <c r="F209" s="38"/>
    </row>
    <row r="210" spans="4:6" x14ac:dyDescent="0.2">
      <c r="D210" s="38"/>
      <c r="E210" s="38"/>
      <c r="F210" s="38"/>
    </row>
    <row r="211" spans="4:6" x14ac:dyDescent="0.2">
      <c r="D211" s="38"/>
      <c r="E211" s="38"/>
      <c r="F211" s="38"/>
    </row>
    <row r="212" spans="4:6" x14ac:dyDescent="0.2">
      <c r="D212" s="38"/>
      <c r="E212" s="38"/>
      <c r="F212" s="38"/>
    </row>
    <row r="213" spans="4:6" x14ac:dyDescent="0.2">
      <c r="D213" s="38"/>
      <c r="E213" s="38"/>
      <c r="F213" s="38"/>
    </row>
    <row r="214" spans="4:6" x14ac:dyDescent="0.2">
      <c r="D214" s="38"/>
      <c r="E214" s="38"/>
      <c r="F214" s="38"/>
    </row>
    <row r="215" spans="4:6" x14ac:dyDescent="0.2">
      <c r="D215" s="38"/>
      <c r="E215" s="38"/>
      <c r="F215" s="38"/>
    </row>
    <row r="216" spans="4:6" x14ac:dyDescent="0.2">
      <c r="D216" s="38"/>
      <c r="E216" s="38"/>
      <c r="F216" s="38"/>
    </row>
    <row r="217" spans="4:6" x14ac:dyDescent="0.2">
      <c r="D217" s="38"/>
      <c r="E217" s="38"/>
      <c r="F217" s="38"/>
    </row>
    <row r="218" spans="4:6" x14ac:dyDescent="0.2">
      <c r="D218" s="38"/>
      <c r="E218" s="38"/>
      <c r="F218" s="38"/>
    </row>
    <row r="219" spans="4:6" x14ac:dyDescent="0.2">
      <c r="D219" s="38"/>
      <c r="E219" s="38"/>
      <c r="F219" s="38"/>
    </row>
    <row r="220" spans="4:6" x14ac:dyDescent="0.2">
      <c r="D220" s="38"/>
      <c r="E220" s="38"/>
      <c r="F220" s="38"/>
    </row>
    <row r="221" spans="4:6" x14ac:dyDescent="0.2">
      <c r="D221" s="38"/>
      <c r="E221" s="38"/>
      <c r="F221" s="38"/>
    </row>
    <row r="222" spans="4:6" x14ac:dyDescent="0.2">
      <c r="D222" s="38"/>
      <c r="E222" s="38"/>
      <c r="F222" s="38"/>
    </row>
    <row r="223" spans="4:6" x14ac:dyDescent="0.2">
      <c r="D223" s="38"/>
      <c r="E223" s="38"/>
      <c r="F223" s="38"/>
    </row>
    <row r="224" spans="4:6" x14ac:dyDescent="0.2">
      <c r="D224" s="38"/>
      <c r="E224" s="38"/>
      <c r="F224" s="38"/>
    </row>
    <row r="225" spans="4:6" x14ac:dyDescent="0.2">
      <c r="D225" s="38"/>
      <c r="E225" s="38"/>
      <c r="F225" s="38"/>
    </row>
    <row r="226" spans="4:6" x14ac:dyDescent="0.2">
      <c r="D226" s="38"/>
      <c r="E226" s="38"/>
      <c r="F226" s="38"/>
    </row>
    <row r="227" spans="4:6" x14ac:dyDescent="0.2">
      <c r="D227" s="38"/>
      <c r="E227" s="38"/>
      <c r="F227" s="38"/>
    </row>
    <row r="228" spans="4:6" x14ac:dyDescent="0.2">
      <c r="D228" s="38"/>
      <c r="E228" s="38"/>
      <c r="F228" s="38"/>
    </row>
    <row r="229" spans="4:6" x14ac:dyDescent="0.2">
      <c r="D229" s="38"/>
      <c r="E229" s="38"/>
      <c r="F229" s="38"/>
    </row>
    <row r="230" spans="4:6" x14ac:dyDescent="0.2">
      <c r="D230" s="38"/>
      <c r="E230" s="38"/>
      <c r="F230" s="38"/>
    </row>
  </sheetData>
  <mergeCells count="3">
    <mergeCell ref="A33:E33"/>
    <mergeCell ref="A1:C1"/>
    <mergeCell ref="D1:G1"/>
  </mergeCells>
  <phoneticPr fontId="0" type="noConversion"/>
  <dataValidations count="3">
    <dataValidation type="list" allowBlank="1" showInputMessage="1" showErrorMessage="1" sqref="C3:C32">
      <formula1>Risk_Category_List</formula1>
    </dataValidation>
    <dataValidation allowBlank="1" showInputMessage="1" showErrorMessage="1" promptTitle="Estimated impact - days" prompt="This is an estimate of the impact that this risk will have on the project" sqref="D2"/>
    <dataValidation allowBlank="1" showInputMessage="1" showErrorMessage="1" promptTitle="Probability of Occurrence" prompt="Probability that this risk would occur during the project life cycle" sqref="E2"/>
  </dataValidations>
  <hyperlinks>
    <hyperlink ref="D1" location="'Detailed Risk Impact Estimates'!B37" display="See below for Risk Impact Summary"/>
    <hyperlink ref="D1:G1" location="'Detailed Risk Impact Estimates'!B35" display="See below for Risk Impact Summary"/>
  </hyperlink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heetPr>
  <dimension ref="A1:D102"/>
  <sheetViews>
    <sheetView showGridLines="0" zoomScale="86" zoomScaleNormal="86" workbookViewId="0">
      <selection activeCell="B83" sqref="B83"/>
    </sheetView>
  </sheetViews>
  <sheetFormatPr defaultRowHeight="15" outlineLevelRow="1" x14ac:dyDescent="0.25"/>
  <cols>
    <col min="1" max="1" width="5.5703125" style="8" customWidth="1"/>
    <col min="2" max="2" width="118.5703125" style="8" customWidth="1"/>
    <col min="3" max="16384" width="9.140625" style="8"/>
  </cols>
  <sheetData>
    <row r="1" spans="1:4" x14ac:dyDescent="0.25">
      <c r="A1" s="161" t="s">
        <v>74</v>
      </c>
      <c r="B1" s="162"/>
    </row>
    <row r="2" spans="1:4" ht="30" customHeight="1" x14ac:dyDescent="0.25">
      <c r="A2" s="163" t="s">
        <v>77</v>
      </c>
      <c r="B2" s="163"/>
    </row>
    <row r="3" spans="1:4" ht="43.5" customHeight="1" x14ac:dyDescent="0.25">
      <c r="A3" s="59"/>
      <c r="B3" s="59"/>
    </row>
    <row r="4" spans="1:4" ht="21" collapsed="1" x14ac:dyDescent="0.3">
      <c r="A4" s="159" t="s">
        <v>84</v>
      </c>
      <c r="B4" s="160"/>
      <c r="C4" s="60">
        <f>COUNTA(B6:B15)</f>
        <v>0</v>
      </c>
      <c r="D4" s="60" t="s">
        <v>85</v>
      </c>
    </row>
    <row r="5" spans="1:4" hidden="1" outlineLevel="1" x14ac:dyDescent="0.25">
      <c r="A5" s="50" t="s">
        <v>6</v>
      </c>
      <c r="B5" s="50" t="s">
        <v>86</v>
      </c>
    </row>
    <row r="6" spans="1:4" hidden="1" outlineLevel="1" x14ac:dyDescent="0.25">
      <c r="A6" s="51">
        <v>1</v>
      </c>
      <c r="B6" s="52"/>
    </row>
    <row r="7" spans="1:4" hidden="1" outlineLevel="1" x14ac:dyDescent="0.25">
      <c r="A7" s="51">
        <v>2</v>
      </c>
      <c r="B7" s="52"/>
    </row>
    <row r="8" spans="1:4" hidden="1" outlineLevel="1" x14ac:dyDescent="0.25">
      <c r="A8" s="51">
        <v>3</v>
      </c>
      <c r="B8" s="52"/>
    </row>
    <row r="9" spans="1:4" hidden="1" outlineLevel="1" x14ac:dyDescent="0.25">
      <c r="A9" s="51">
        <v>4</v>
      </c>
      <c r="B9" s="52"/>
    </row>
    <row r="10" spans="1:4" hidden="1" outlineLevel="1" x14ac:dyDescent="0.25">
      <c r="A10" s="51">
        <v>5</v>
      </c>
      <c r="B10" s="52"/>
    </row>
    <row r="11" spans="1:4" hidden="1" outlineLevel="1" x14ac:dyDescent="0.25">
      <c r="A11" s="51">
        <v>6</v>
      </c>
      <c r="B11" s="52"/>
    </row>
    <row r="12" spans="1:4" hidden="1" outlineLevel="1" x14ac:dyDescent="0.25">
      <c r="A12" s="51">
        <v>7</v>
      </c>
      <c r="B12" s="52"/>
    </row>
    <row r="13" spans="1:4" hidden="1" outlineLevel="1" x14ac:dyDescent="0.25">
      <c r="A13" s="51">
        <v>8</v>
      </c>
      <c r="B13" s="52"/>
    </row>
    <row r="14" spans="1:4" hidden="1" outlineLevel="1" x14ac:dyDescent="0.25">
      <c r="A14" s="51">
        <v>9</v>
      </c>
      <c r="B14" s="52"/>
    </row>
    <row r="15" spans="1:4" hidden="1" outlineLevel="1" x14ac:dyDescent="0.25">
      <c r="A15" s="51">
        <v>10</v>
      </c>
      <c r="B15" s="52"/>
    </row>
    <row r="17" spans="1:4" ht="21" collapsed="1" x14ac:dyDescent="0.3">
      <c r="A17" s="159" t="s">
        <v>79</v>
      </c>
      <c r="B17" s="160"/>
      <c r="C17" s="60">
        <f>COUNTA(B19:B28)</f>
        <v>1</v>
      </c>
      <c r="D17" s="60" t="s">
        <v>85</v>
      </c>
    </row>
    <row r="18" spans="1:4" hidden="1" outlineLevel="1" x14ac:dyDescent="0.25">
      <c r="A18" s="50" t="s">
        <v>6</v>
      </c>
      <c r="B18" s="50" t="s">
        <v>86</v>
      </c>
    </row>
    <row r="19" spans="1:4" hidden="1" outlineLevel="1" x14ac:dyDescent="0.25">
      <c r="A19" s="51">
        <v>1</v>
      </c>
      <c r="B19" s="52" t="s">
        <v>193</v>
      </c>
    </row>
    <row r="20" spans="1:4" hidden="1" outlineLevel="1" x14ac:dyDescent="0.25">
      <c r="A20" s="51">
        <v>2</v>
      </c>
      <c r="B20" s="52"/>
    </row>
    <row r="21" spans="1:4" hidden="1" outlineLevel="1" x14ac:dyDescent="0.25">
      <c r="A21" s="51">
        <v>3</v>
      </c>
      <c r="B21" s="52"/>
    </row>
    <row r="22" spans="1:4" hidden="1" outlineLevel="1" x14ac:dyDescent="0.25">
      <c r="A22" s="51">
        <v>4</v>
      </c>
      <c r="B22" s="52"/>
    </row>
    <row r="23" spans="1:4" hidden="1" outlineLevel="1" x14ac:dyDescent="0.25">
      <c r="A23" s="51">
        <v>5</v>
      </c>
      <c r="B23" s="52"/>
    </row>
    <row r="24" spans="1:4" hidden="1" outlineLevel="1" x14ac:dyDescent="0.25">
      <c r="A24" s="51">
        <v>6</v>
      </c>
      <c r="B24" s="52"/>
    </row>
    <row r="25" spans="1:4" hidden="1" outlineLevel="1" x14ac:dyDescent="0.25">
      <c r="A25" s="51">
        <v>7</v>
      </c>
      <c r="B25" s="52"/>
    </row>
    <row r="26" spans="1:4" hidden="1" outlineLevel="1" x14ac:dyDescent="0.25">
      <c r="A26" s="51">
        <v>8</v>
      </c>
      <c r="B26" s="52"/>
    </row>
    <row r="27" spans="1:4" hidden="1" outlineLevel="1" x14ac:dyDescent="0.25">
      <c r="A27" s="51">
        <v>9</v>
      </c>
      <c r="B27" s="52"/>
    </row>
    <row r="28" spans="1:4" hidden="1" outlineLevel="1" x14ac:dyDescent="0.25">
      <c r="A28" s="51">
        <v>10</v>
      </c>
      <c r="B28" s="52"/>
    </row>
    <row r="30" spans="1:4" ht="21" collapsed="1" x14ac:dyDescent="0.3">
      <c r="A30" s="159" t="s">
        <v>81</v>
      </c>
      <c r="B30" s="160"/>
      <c r="C30" s="60">
        <f>COUNTA(B32:B41)</f>
        <v>0</v>
      </c>
      <c r="D30" s="60" t="s">
        <v>85</v>
      </c>
    </row>
    <row r="31" spans="1:4" hidden="1" outlineLevel="1" x14ac:dyDescent="0.25">
      <c r="A31" s="50" t="s">
        <v>6</v>
      </c>
      <c r="B31" s="50" t="s">
        <v>86</v>
      </c>
    </row>
    <row r="32" spans="1:4" hidden="1" outlineLevel="1" x14ac:dyDescent="0.25">
      <c r="A32" s="51">
        <v>1</v>
      </c>
      <c r="B32" s="52"/>
    </row>
    <row r="33" spans="1:4" hidden="1" outlineLevel="1" x14ac:dyDescent="0.25">
      <c r="A33" s="51">
        <v>2</v>
      </c>
      <c r="B33" s="52"/>
    </row>
    <row r="34" spans="1:4" hidden="1" outlineLevel="1" x14ac:dyDescent="0.25">
      <c r="A34" s="51">
        <v>3</v>
      </c>
      <c r="B34" s="52"/>
    </row>
    <row r="35" spans="1:4" hidden="1" outlineLevel="1" x14ac:dyDescent="0.25">
      <c r="A35" s="51">
        <v>4</v>
      </c>
      <c r="B35" s="52"/>
    </row>
    <row r="36" spans="1:4" hidden="1" outlineLevel="1" x14ac:dyDescent="0.25">
      <c r="A36" s="51">
        <v>5</v>
      </c>
      <c r="B36" s="52"/>
    </row>
    <row r="37" spans="1:4" hidden="1" outlineLevel="1" x14ac:dyDescent="0.25">
      <c r="A37" s="51">
        <v>6</v>
      </c>
      <c r="B37" s="52"/>
    </row>
    <row r="38" spans="1:4" hidden="1" outlineLevel="1" x14ac:dyDescent="0.25">
      <c r="A38" s="51">
        <v>7</v>
      </c>
      <c r="B38" s="52"/>
    </row>
    <row r="39" spans="1:4" hidden="1" outlineLevel="1" x14ac:dyDescent="0.25">
      <c r="A39" s="51">
        <v>8</v>
      </c>
      <c r="B39" s="52"/>
    </row>
    <row r="40" spans="1:4" hidden="1" outlineLevel="1" x14ac:dyDescent="0.25">
      <c r="A40" s="51">
        <v>9</v>
      </c>
      <c r="B40" s="52"/>
    </row>
    <row r="41" spans="1:4" hidden="1" outlineLevel="1" x14ac:dyDescent="0.25">
      <c r="A41" s="51">
        <v>10</v>
      </c>
      <c r="B41" s="52"/>
    </row>
    <row r="43" spans="1:4" ht="21" collapsed="1" x14ac:dyDescent="0.3">
      <c r="A43" s="159" t="s">
        <v>82</v>
      </c>
      <c r="B43" s="160"/>
      <c r="C43" s="60">
        <f>COUNTA(B45:B54)</f>
        <v>2</v>
      </c>
      <c r="D43" s="60" t="s">
        <v>85</v>
      </c>
    </row>
    <row r="44" spans="1:4" hidden="1" outlineLevel="1" x14ac:dyDescent="0.25">
      <c r="A44" s="50" t="s">
        <v>6</v>
      </c>
      <c r="B44" s="50" t="s">
        <v>86</v>
      </c>
    </row>
    <row r="45" spans="1:4" hidden="1" outlineLevel="1" x14ac:dyDescent="0.25">
      <c r="A45" s="51">
        <v>1</v>
      </c>
      <c r="B45" s="52" t="s">
        <v>199</v>
      </c>
    </row>
    <row r="46" spans="1:4" hidden="1" outlineLevel="1" x14ac:dyDescent="0.25">
      <c r="A46" s="51">
        <v>2</v>
      </c>
      <c r="B46" s="52" t="s">
        <v>200</v>
      </c>
    </row>
    <row r="47" spans="1:4" hidden="1" outlineLevel="1" x14ac:dyDescent="0.25">
      <c r="A47" s="51">
        <v>3</v>
      </c>
      <c r="B47" s="52"/>
    </row>
    <row r="48" spans="1:4" hidden="1" outlineLevel="1" x14ac:dyDescent="0.25">
      <c r="A48" s="51">
        <v>4</v>
      </c>
      <c r="B48" s="52"/>
    </row>
    <row r="49" spans="1:4" hidden="1" outlineLevel="1" x14ac:dyDescent="0.25">
      <c r="A49" s="51">
        <v>5</v>
      </c>
      <c r="B49" s="52"/>
    </row>
    <row r="50" spans="1:4" hidden="1" outlineLevel="1" x14ac:dyDescent="0.25">
      <c r="A50" s="51">
        <v>6</v>
      </c>
      <c r="B50" s="52"/>
    </row>
    <row r="51" spans="1:4" hidden="1" outlineLevel="1" x14ac:dyDescent="0.25">
      <c r="A51" s="51">
        <v>7</v>
      </c>
      <c r="B51" s="52"/>
    </row>
    <row r="52" spans="1:4" hidden="1" outlineLevel="1" x14ac:dyDescent="0.25">
      <c r="A52" s="51">
        <v>8</v>
      </c>
      <c r="B52" s="52"/>
    </row>
    <row r="53" spans="1:4" hidden="1" outlineLevel="1" x14ac:dyDescent="0.25">
      <c r="A53" s="51">
        <v>9</v>
      </c>
      <c r="B53" s="52"/>
    </row>
    <row r="54" spans="1:4" hidden="1" outlineLevel="1" x14ac:dyDescent="0.25">
      <c r="A54" s="51">
        <v>10</v>
      </c>
      <c r="B54" s="52"/>
    </row>
    <row r="56" spans="1:4" ht="21" collapsed="1" x14ac:dyDescent="0.3">
      <c r="A56" s="159" t="s">
        <v>83</v>
      </c>
      <c r="B56" s="160"/>
      <c r="C56" s="60">
        <f>COUNTA(B58:B67)</f>
        <v>2</v>
      </c>
      <c r="D56" s="60" t="s">
        <v>85</v>
      </c>
    </row>
    <row r="57" spans="1:4" hidden="1" outlineLevel="1" x14ac:dyDescent="0.25">
      <c r="A57" s="50" t="s">
        <v>6</v>
      </c>
      <c r="B57" s="50" t="s">
        <v>86</v>
      </c>
    </row>
    <row r="58" spans="1:4" hidden="1" outlineLevel="1" x14ac:dyDescent="0.25">
      <c r="A58" s="51">
        <v>1</v>
      </c>
      <c r="B58" s="52" t="s">
        <v>194</v>
      </c>
    </row>
    <row r="59" spans="1:4" hidden="1" outlineLevel="1" x14ac:dyDescent="0.25">
      <c r="A59" s="51">
        <v>2</v>
      </c>
      <c r="B59" s="52" t="s">
        <v>198</v>
      </c>
    </row>
    <row r="60" spans="1:4" hidden="1" outlineLevel="1" x14ac:dyDescent="0.25">
      <c r="A60" s="51">
        <v>3</v>
      </c>
      <c r="B60" s="52"/>
    </row>
    <row r="61" spans="1:4" hidden="1" outlineLevel="1" x14ac:dyDescent="0.25">
      <c r="A61" s="51">
        <v>4</v>
      </c>
      <c r="B61" s="52"/>
    </row>
    <row r="62" spans="1:4" hidden="1" outlineLevel="1" x14ac:dyDescent="0.25">
      <c r="A62" s="51">
        <v>5</v>
      </c>
      <c r="B62" s="52"/>
    </row>
    <row r="63" spans="1:4" hidden="1" outlineLevel="1" x14ac:dyDescent="0.25">
      <c r="A63" s="51">
        <v>6</v>
      </c>
      <c r="B63" s="52"/>
    </row>
    <row r="64" spans="1:4" hidden="1" outlineLevel="1" x14ac:dyDescent="0.25">
      <c r="A64" s="51">
        <v>7</v>
      </c>
      <c r="B64" s="52"/>
    </row>
    <row r="65" spans="1:4" hidden="1" outlineLevel="1" x14ac:dyDescent="0.25">
      <c r="A65" s="51">
        <v>8</v>
      </c>
      <c r="B65" s="52"/>
    </row>
    <row r="66" spans="1:4" hidden="1" outlineLevel="1" x14ac:dyDescent="0.25">
      <c r="A66" s="51">
        <v>9</v>
      </c>
      <c r="B66" s="52"/>
    </row>
    <row r="67" spans="1:4" hidden="1" outlineLevel="1" x14ac:dyDescent="0.25">
      <c r="A67" s="51">
        <v>10</v>
      </c>
      <c r="B67" s="52"/>
    </row>
    <row r="69" spans="1:4" ht="21" collapsed="1" x14ac:dyDescent="0.3">
      <c r="A69" s="159" t="s">
        <v>80</v>
      </c>
      <c r="B69" s="160"/>
      <c r="C69" s="60">
        <f>COUNTA(B71:B102)</f>
        <v>32</v>
      </c>
      <c r="D69" s="60" t="s">
        <v>85</v>
      </c>
    </row>
    <row r="70" spans="1:4" hidden="1" outlineLevel="1" x14ac:dyDescent="0.25">
      <c r="A70" s="50" t="s">
        <v>6</v>
      </c>
      <c r="B70" s="50" t="s">
        <v>86</v>
      </c>
    </row>
    <row r="71" spans="1:4" hidden="1" outlineLevel="1" x14ac:dyDescent="0.25">
      <c r="A71" s="51">
        <v>1</v>
      </c>
      <c r="B71" s="164" t="s">
        <v>134</v>
      </c>
    </row>
    <row r="72" spans="1:4" hidden="1" outlineLevel="1" x14ac:dyDescent="0.25">
      <c r="A72" s="51">
        <v>2</v>
      </c>
      <c r="B72" s="164" t="s">
        <v>135</v>
      </c>
    </row>
    <row r="73" spans="1:4" hidden="1" outlineLevel="1" x14ac:dyDescent="0.25">
      <c r="A73" s="51">
        <v>3</v>
      </c>
      <c r="B73" s="52" t="s">
        <v>171</v>
      </c>
    </row>
    <row r="74" spans="1:4" hidden="1" outlineLevel="1" x14ac:dyDescent="0.25">
      <c r="A74" s="51">
        <v>4</v>
      </c>
      <c r="B74" s="52" t="s">
        <v>172</v>
      </c>
    </row>
    <row r="75" spans="1:4" hidden="1" outlineLevel="1" x14ac:dyDescent="0.25">
      <c r="A75" s="51">
        <v>5</v>
      </c>
      <c r="B75" s="52" t="s">
        <v>133</v>
      </c>
    </row>
    <row r="76" spans="1:4" hidden="1" outlineLevel="1" x14ac:dyDescent="0.25">
      <c r="A76" s="51">
        <v>6</v>
      </c>
      <c r="B76" s="164" t="s">
        <v>174</v>
      </c>
    </row>
    <row r="77" spans="1:4" hidden="1" outlineLevel="1" x14ac:dyDescent="0.25">
      <c r="A77" s="51">
        <v>7</v>
      </c>
      <c r="B77" s="52" t="s">
        <v>175</v>
      </c>
    </row>
    <row r="78" spans="1:4" hidden="1" outlineLevel="1" x14ac:dyDescent="0.25">
      <c r="A78" s="51">
        <v>8</v>
      </c>
      <c r="B78" s="52" t="s">
        <v>176</v>
      </c>
    </row>
    <row r="79" spans="1:4" hidden="1" outlineLevel="1" x14ac:dyDescent="0.25">
      <c r="A79" s="51">
        <v>9</v>
      </c>
      <c r="B79" s="164" t="s">
        <v>177</v>
      </c>
    </row>
    <row r="80" spans="1:4" hidden="1" outlineLevel="1" x14ac:dyDescent="0.25">
      <c r="A80" s="51">
        <v>10</v>
      </c>
      <c r="B80" s="52" t="s">
        <v>179</v>
      </c>
    </row>
    <row r="81" spans="1:2" hidden="1" outlineLevel="1" x14ac:dyDescent="0.25">
      <c r="A81" s="51">
        <v>11</v>
      </c>
      <c r="B81" s="52" t="s">
        <v>180</v>
      </c>
    </row>
    <row r="82" spans="1:2" hidden="1" outlineLevel="1" x14ac:dyDescent="0.25">
      <c r="A82" s="51">
        <v>12</v>
      </c>
      <c r="B82" s="52" t="s">
        <v>181</v>
      </c>
    </row>
    <row r="83" spans="1:2" hidden="1" outlineLevel="1" x14ac:dyDescent="0.25">
      <c r="A83" s="51">
        <v>13</v>
      </c>
      <c r="B83" s="52" t="s">
        <v>185</v>
      </c>
    </row>
    <row r="84" spans="1:2" hidden="1" outlineLevel="1" x14ac:dyDescent="0.25">
      <c r="A84" s="51">
        <v>14</v>
      </c>
      <c r="B84" s="52" t="s">
        <v>184</v>
      </c>
    </row>
    <row r="85" spans="1:2" hidden="1" outlineLevel="1" x14ac:dyDescent="0.25">
      <c r="A85" s="51">
        <v>15</v>
      </c>
      <c r="B85" s="52" t="s">
        <v>186</v>
      </c>
    </row>
    <row r="86" spans="1:2" hidden="1" outlineLevel="1" x14ac:dyDescent="0.25">
      <c r="A86" s="51">
        <v>16</v>
      </c>
      <c r="B86" s="52" t="s">
        <v>192</v>
      </c>
    </row>
    <row r="87" spans="1:2" hidden="1" outlineLevel="1" x14ac:dyDescent="0.25">
      <c r="A87" s="51">
        <v>17</v>
      </c>
      <c r="B87" s="52" t="s">
        <v>195</v>
      </c>
    </row>
    <row r="88" spans="1:2" hidden="1" outlineLevel="1" x14ac:dyDescent="0.25">
      <c r="A88" s="51">
        <v>18</v>
      </c>
      <c r="B88" s="52" t="s">
        <v>196</v>
      </c>
    </row>
    <row r="89" spans="1:2" hidden="1" outlineLevel="1" x14ac:dyDescent="0.25">
      <c r="A89" s="51">
        <v>19</v>
      </c>
      <c r="B89" s="164" t="s">
        <v>197</v>
      </c>
    </row>
    <row r="90" spans="1:2" hidden="1" outlineLevel="1" x14ac:dyDescent="0.25">
      <c r="A90" s="51">
        <v>20</v>
      </c>
      <c r="B90" s="52" t="s">
        <v>201</v>
      </c>
    </row>
    <row r="91" spans="1:2" hidden="1" outlineLevel="1" x14ac:dyDescent="0.25">
      <c r="A91" s="51">
        <v>21</v>
      </c>
      <c r="B91" s="52" t="s">
        <v>202</v>
      </c>
    </row>
    <row r="92" spans="1:2" hidden="1" outlineLevel="1" x14ac:dyDescent="0.25">
      <c r="A92" s="51">
        <v>22</v>
      </c>
      <c r="B92" s="52" t="s">
        <v>203</v>
      </c>
    </row>
    <row r="93" spans="1:2" hidden="1" outlineLevel="1" x14ac:dyDescent="0.25">
      <c r="A93" s="51">
        <v>23</v>
      </c>
      <c r="B93" s="52" t="s">
        <v>204</v>
      </c>
    </row>
    <row r="94" spans="1:2" hidden="1" outlineLevel="1" x14ac:dyDescent="0.25">
      <c r="A94" s="51">
        <v>24</v>
      </c>
      <c r="B94" s="52" t="s">
        <v>205</v>
      </c>
    </row>
    <row r="95" spans="1:2" hidden="1" outlineLevel="1" x14ac:dyDescent="0.25">
      <c r="A95" s="51">
        <v>25</v>
      </c>
      <c r="B95" s="164" t="s">
        <v>206</v>
      </c>
    </row>
    <row r="96" spans="1:2" hidden="1" outlineLevel="1" x14ac:dyDescent="0.25">
      <c r="A96" s="51">
        <v>26</v>
      </c>
      <c r="B96" s="165" t="s">
        <v>207</v>
      </c>
    </row>
    <row r="97" spans="1:2" hidden="1" outlineLevel="1" x14ac:dyDescent="0.25">
      <c r="A97" s="51">
        <v>27</v>
      </c>
      <c r="B97" s="164" t="s">
        <v>208</v>
      </c>
    </row>
    <row r="98" spans="1:2" hidden="1" outlineLevel="1" x14ac:dyDescent="0.25">
      <c r="A98" s="51">
        <v>28</v>
      </c>
      <c r="B98" s="52" t="s">
        <v>209</v>
      </c>
    </row>
    <row r="99" spans="1:2" hidden="1" outlineLevel="1" x14ac:dyDescent="0.25">
      <c r="A99" s="51">
        <v>29</v>
      </c>
      <c r="B99" s="52" t="s">
        <v>210</v>
      </c>
    </row>
    <row r="100" spans="1:2" hidden="1" outlineLevel="1" x14ac:dyDescent="0.25">
      <c r="A100" s="51">
        <v>30</v>
      </c>
      <c r="B100" s="52" t="s">
        <v>211</v>
      </c>
    </row>
    <row r="101" spans="1:2" hidden="1" outlineLevel="1" x14ac:dyDescent="0.25">
      <c r="A101" s="51">
        <v>31</v>
      </c>
      <c r="B101" s="52" t="s">
        <v>212</v>
      </c>
    </row>
    <row r="102" spans="1:2" hidden="1" outlineLevel="1" x14ac:dyDescent="0.25">
      <c r="A102" s="51">
        <v>31</v>
      </c>
      <c r="B102" s="164" t="s">
        <v>213</v>
      </c>
    </row>
  </sheetData>
  <mergeCells count="8">
    <mergeCell ref="A43:B43"/>
    <mergeCell ref="A56:B56"/>
    <mergeCell ref="A69:B69"/>
    <mergeCell ref="A1:B1"/>
    <mergeCell ref="A2:B2"/>
    <mergeCell ref="A4:B4"/>
    <mergeCell ref="A17:B17"/>
    <mergeCell ref="A30:B30"/>
  </mergeCells>
  <phoneticPr fontId="0" type="noConversion"/>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3"/>
  <sheetViews>
    <sheetView zoomScale="95" zoomScaleNormal="95" workbookViewId="0">
      <selection activeCell="B38" sqref="B38"/>
    </sheetView>
  </sheetViews>
  <sheetFormatPr defaultRowHeight="12.75" x14ac:dyDescent="0.2"/>
  <cols>
    <col min="1" max="1" width="3.140625" style="23" customWidth="1"/>
    <col min="2" max="2" width="122.85546875" style="23" customWidth="1"/>
    <col min="3" max="16384" width="9.140625" style="23"/>
  </cols>
  <sheetData>
    <row r="1" spans="1:6" ht="29.25" customHeight="1" x14ac:dyDescent="0.2">
      <c r="A1" s="104" t="s">
        <v>78</v>
      </c>
      <c r="B1" s="107"/>
      <c r="C1" s="107"/>
      <c r="D1" s="107"/>
      <c r="E1" s="107"/>
      <c r="F1" s="107"/>
    </row>
    <row r="2" spans="1:6" ht="15" x14ac:dyDescent="0.25">
      <c r="B2" s="57" t="s">
        <v>65</v>
      </c>
    </row>
    <row r="3" spans="1:6" ht="30" x14ac:dyDescent="0.25">
      <c r="B3" s="49" t="s">
        <v>66</v>
      </c>
    </row>
    <row r="4" spans="1:6" ht="30" x14ac:dyDescent="0.25">
      <c r="B4" s="49" t="s">
        <v>67</v>
      </c>
    </row>
    <row r="5" spans="1:6" ht="15" x14ac:dyDescent="0.25">
      <c r="B5" s="49" t="s">
        <v>68</v>
      </c>
    </row>
    <row r="6" spans="1:6" x14ac:dyDescent="0.2">
      <c r="B6" s="57"/>
    </row>
    <row r="7" spans="1:6" ht="45" x14ac:dyDescent="0.25">
      <c r="B7" s="57" t="s">
        <v>69</v>
      </c>
    </row>
    <row r="8" spans="1:6" ht="15" x14ac:dyDescent="0.25">
      <c r="B8" s="49" t="s">
        <v>70</v>
      </c>
    </row>
    <row r="9" spans="1:6" ht="7.5" customHeight="1" x14ac:dyDescent="0.2">
      <c r="B9" s="57"/>
    </row>
    <row r="10" spans="1:6" ht="37.5" customHeight="1" x14ac:dyDescent="0.25">
      <c r="B10" s="57" t="s">
        <v>71</v>
      </c>
    </row>
    <row r="11" spans="1:6" ht="45" x14ac:dyDescent="0.25">
      <c r="B11" s="49" t="s">
        <v>72</v>
      </c>
    </row>
    <row r="12" spans="1:6" ht="30" x14ac:dyDescent="0.25">
      <c r="B12" s="49" t="s">
        <v>73</v>
      </c>
    </row>
    <row r="13" spans="1:6" x14ac:dyDescent="0.2">
      <c r="B13" s="49"/>
    </row>
  </sheetData>
  <mergeCells count="1">
    <mergeCell ref="A1:F1"/>
  </mergeCell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1"/>
  <sheetViews>
    <sheetView showGridLines="0" workbookViewId="0">
      <selection activeCell="E15" sqref="E15"/>
    </sheetView>
  </sheetViews>
  <sheetFormatPr defaultRowHeight="12.75" x14ac:dyDescent="0.2"/>
  <cols>
    <col min="1" max="1" width="38" customWidth="1"/>
    <col min="257" max="257" width="38" customWidth="1"/>
    <col min="513" max="513" width="38" customWidth="1"/>
    <col min="769" max="769" width="38" customWidth="1"/>
    <col min="1025" max="1025" width="38" customWidth="1"/>
    <col min="1281" max="1281" width="38" customWidth="1"/>
    <col min="1537" max="1537" width="38" customWidth="1"/>
    <col min="1793" max="1793" width="38" customWidth="1"/>
    <col min="2049" max="2049" width="38" customWidth="1"/>
    <col min="2305" max="2305" width="38" customWidth="1"/>
    <col min="2561" max="2561" width="38" customWidth="1"/>
    <col min="2817" max="2817" width="38" customWidth="1"/>
    <col min="3073" max="3073" width="38" customWidth="1"/>
    <col min="3329" max="3329" width="38" customWidth="1"/>
    <col min="3585" max="3585" width="38" customWidth="1"/>
    <col min="3841" max="3841" width="38" customWidth="1"/>
    <col min="4097" max="4097" width="38" customWidth="1"/>
    <col min="4353" max="4353" width="38" customWidth="1"/>
    <col min="4609" max="4609" width="38" customWidth="1"/>
    <col min="4865" max="4865" width="38" customWidth="1"/>
    <col min="5121" max="5121" width="38" customWidth="1"/>
    <col min="5377" max="5377" width="38" customWidth="1"/>
    <col min="5633" max="5633" width="38" customWidth="1"/>
    <col min="5889" max="5889" width="38" customWidth="1"/>
    <col min="6145" max="6145" width="38" customWidth="1"/>
    <col min="6401" max="6401" width="38" customWidth="1"/>
    <col min="6657" max="6657" width="38" customWidth="1"/>
    <col min="6913" max="6913" width="38" customWidth="1"/>
    <col min="7169" max="7169" width="38" customWidth="1"/>
    <col min="7425" max="7425" width="38" customWidth="1"/>
    <col min="7681" max="7681" width="38" customWidth="1"/>
    <col min="7937" max="7937" width="38" customWidth="1"/>
    <col min="8193" max="8193" width="38" customWidth="1"/>
    <col min="8449" max="8449" width="38" customWidth="1"/>
    <col min="8705" max="8705" width="38" customWidth="1"/>
    <col min="8961" max="8961" width="38" customWidth="1"/>
    <col min="9217" max="9217" width="38" customWidth="1"/>
    <col min="9473" max="9473" width="38" customWidth="1"/>
    <col min="9729" max="9729" width="38" customWidth="1"/>
    <col min="9985" max="9985" width="38" customWidth="1"/>
    <col min="10241" max="10241" width="38" customWidth="1"/>
    <col min="10497" max="10497" width="38" customWidth="1"/>
    <col min="10753" max="10753" width="38" customWidth="1"/>
    <col min="11009" max="11009" width="38" customWidth="1"/>
    <col min="11265" max="11265" width="38" customWidth="1"/>
    <col min="11521" max="11521" width="38" customWidth="1"/>
    <col min="11777" max="11777" width="38" customWidth="1"/>
    <col min="12033" max="12033" width="38" customWidth="1"/>
    <col min="12289" max="12289" width="38" customWidth="1"/>
    <col min="12545" max="12545" width="38" customWidth="1"/>
    <col min="12801" max="12801" width="38" customWidth="1"/>
    <col min="13057" max="13057" width="38" customWidth="1"/>
    <col min="13313" max="13313" width="38" customWidth="1"/>
    <col min="13569" max="13569" width="38" customWidth="1"/>
    <col min="13825" max="13825" width="38" customWidth="1"/>
    <col min="14081" max="14081" width="38" customWidth="1"/>
    <col min="14337" max="14337" width="38" customWidth="1"/>
    <col min="14593" max="14593" width="38" customWidth="1"/>
    <col min="14849" max="14849" width="38" customWidth="1"/>
    <col min="15105" max="15105" width="38" customWidth="1"/>
    <col min="15361" max="15361" width="38" customWidth="1"/>
    <col min="15617" max="15617" width="38" customWidth="1"/>
    <col min="15873" max="15873" width="38" customWidth="1"/>
    <col min="16129" max="16129" width="38" customWidth="1"/>
  </cols>
  <sheetData>
    <row r="1" spans="1:2" x14ac:dyDescent="0.2">
      <c r="A1" s="61" t="s">
        <v>90</v>
      </c>
    </row>
    <row r="2" spans="1:2" ht="24.75" customHeight="1" x14ac:dyDescent="0.2">
      <c r="A2" s="62" t="s">
        <v>91</v>
      </c>
      <c r="B2" s="63">
        <v>0.03</v>
      </c>
    </row>
    <row r="3" spans="1:2" x14ac:dyDescent="0.2">
      <c r="A3" s="58" t="s">
        <v>24</v>
      </c>
      <c r="B3" s="2">
        <v>1.25</v>
      </c>
    </row>
    <row r="4" spans="1:2" x14ac:dyDescent="0.2">
      <c r="A4" s="58" t="s">
        <v>25</v>
      </c>
      <c r="B4" s="2">
        <v>0.75</v>
      </c>
    </row>
    <row r="5" spans="1:2" x14ac:dyDescent="0.2">
      <c r="A5" s="58" t="s">
        <v>87</v>
      </c>
      <c r="B5" s="2"/>
    </row>
    <row r="6" spans="1:2" x14ac:dyDescent="0.2">
      <c r="A6" s="58" t="s">
        <v>87</v>
      </c>
      <c r="B6" s="2"/>
    </row>
    <row r="7" spans="1:2" x14ac:dyDescent="0.2">
      <c r="A7" s="58" t="s">
        <v>87</v>
      </c>
      <c r="B7" s="2"/>
    </row>
    <row r="8" spans="1:2" x14ac:dyDescent="0.2">
      <c r="A8" s="58" t="s">
        <v>87</v>
      </c>
      <c r="B8" s="2"/>
    </row>
    <row r="9" spans="1:2" x14ac:dyDescent="0.2">
      <c r="A9" s="58" t="s">
        <v>87</v>
      </c>
      <c r="B9" s="2"/>
    </row>
    <row r="10" spans="1:2" x14ac:dyDescent="0.2">
      <c r="A10" s="58" t="s">
        <v>87</v>
      </c>
      <c r="B10" s="2"/>
    </row>
    <row r="11" spans="1:2" x14ac:dyDescent="0.2">
      <c r="A11" s="58" t="s">
        <v>87</v>
      </c>
      <c r="B11" s="2"/>
    </row>
  </sheetData>
  <sheetProtection password="C90D" sheet="1"/>
  <protectedRanges>
    <protectedRange sqref="B2:B11" name="Range1"/>
  </protectedRanges>
  <pageMargins left="0.75" right="0.75" top="1" bottom="1" header="0.5" footer="0.5"/>
  <pageSetup orientation="portrait" r:id="rId1"/>
  <headerFooter alignWithMargins="0">
    <oddHeader>&amp;C&amp;"Arial,Bold"&amp;8Virtusa Corporation</oddHeader>
    <oddFooter>&amp;L&amp;"Arial,Bold"&amp;8Project Estimate&amp;R&amp;"Arial,Bold"&amp;8&amp;P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10527C57C9B24AB10C68E34EEE8973" ma:contentTypeVersion="0" ma:contentTypeDescription="Create a new document." ma:contentTypeScope="" ma:versionID="677b8a0d587681ca9d27ef3e048411ad">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D1AE1ED-8D62-46F2-B7D5-B4F6F8DC96A3}">
  <ds:schemaRefs>
    <ds:schemaRef ds:uri="http://www.w3.org/XML/1998/namespace"/>
    <ds:schemaRef ds:uri="http://schemas.openxmlformats.org/package/2006/metadata/core-properties"/>
    <ds:schemaRef ds:uri="http://purl.org/dc/dcmitype/"/>
    <ds:schemaRef ds:uri="http://schemas.microsoft.com/office/2006/documentManagement/types"/>
    <ds:schemaRef ds:uri="http://purl.org/dc/terms/"/>
    <ds:schemaRef ds:uri="http://purl.org/dc/elements/1.1/"/>
    <ds:schemaRef ds:uri="http://schemas.microsoft.com/office/2006/metadata/properties"/>
  </ds:schemaRefs>
</ds:datastoreItem>
</file>

<file path=customXml/itemProps2.xml><?xml version="1.0" encoding="utf-8"?>
<ds:datastoreItem xmlns:ds="http://schemas.openxmlformats.org/officeDocument/2006/customXml" ds:itemID="{C258DDEC-344E-4BB0-8706-49D765B99E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BAD6059-4E49-4F6D-8D5E-8F418B1329DF}">
  <ds:schemaRefs>
    <ds:schemaRef ds:uri="http://schemas.microsoft.com/office/2006/metadata/longProperties"/>
  </ds:schemaRefs>
</ds:datastoreItem>
</file>

<file path=customXml/itemProps4.xml><?xml version="1.0" encoding="utf-8"?>
<ds:datastoreItem xmlns:ds="http://schemas.openxmlformats.org/officeDocument/2006/customXml" ds:itemID="{0C78390B-98E9-4C6B-A200-92F4188EF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Confidentiality Note</vt:lpstr>
      <vt:lpstr>Detailed Task Estimates</vt:lpstr>
      <vt:lpstr>Effort Summary</vt:lpstr>
      <vt:lpstr>Detailed Risk Impact Estimates</vt:lpstr>
      <vt:lpstr>Assumptions</vt:lpstr>
      <vt:lpstr>PERT Guidelines</vt:lpstr>
      <vt:lpstr>Estimation Metrics</vt:lpstr>
      <vt:lpstr>Expected_Effort</vt:lpstr>
      <vt:lpstr>'Estimation Metrics'!Expert_Team_Productivity_Multiplier</vt:lpstr>
      <vt:lpstr>Expert_Team_Productivity_Multiplier</vt:lpstr>
      <vt:lpstr>'Estimation Metrics'!Green_Team_Productivity_Multiplier</vt:lpstr>
      <vt:lpstr>Green_Team_Productivity_Multiplier</vt:lpstr>
      <vt:lpstr>nr_avg</vt:lpstr>
      <vt:lpstr>nr_expeffET</vt:lpstr>
      <vt:lpstr>nr_expeffGT</vt:lpstr>
      <vt:lpstr>nr_expteffort</vt:lpstr>
      <vt:lpstr>nr_MostLikely</vt:lpstr>
      <vt:lpstr>nr_No</vt:lpstr>
      <vt:lpstr>nr_Optimistic</vt:lpstr>
      <vt:lpstr>nr_Pessimistic</vt:lpstr>
      <vt:lpstr>nr_SD</vt:lpstr>
      <vt:lpstr>nr_TaskName</vt:lpstr>
      <vt:lpstr>nr_Type</vt:lpstr>
      <vt:lpstr>nr_Variance</vt:lpstr>
      <vt:lpstr>Risk_Category_List</vt:lpstr>
      <vt:lpstr>Task_Types</vt:lpstr>
    </vt:vector>
  </TitlesOfParts>
  <Company>Virtusa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Effort Estimate</dc:title>
  <dc:creator>mratnayake</dc:creator>
  <cp:keywords>GIPEstimateTemplate</cp:keywords>
  <cp:lastModifiedBy>Madhushani Tilakaratne</cp:lastModifiedBy>
  <cp:lastPrinted>2004-11-10T11:04:08Z</cp:lastPrinted>
  <dcterms:created xsi:type="dcterms:W3CDTF">2002-11-26T08:50:08Z</dcterms:created>
  <dcterms:modified xsi:type="dcterms:W3CDTF">2014-06-02T11:52:14Z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1.3</vt:lpwstr>
  </property>
  <property fmtid="{D5CDD505-2E9C-101B-9397-08002B2CF9AE}" pid="3" name="ContentType">
    <vt:lpwstr>Document</vt:lpwstr>
  </property>
  <property fmtid="{D5CDD505-2E9C-101B-9397-08002B2CF9AE}" pid="4" name="Subject">
    <vt:lpwstr/>
  </property>
  <property fmtid="{D5CDD505-2E9C-101B-9397-08002B2CF9AE}" pid="5" name="Keywords">
    <vt:lpwstr>GIPEstimateTemplate</vt:lpwstr>
  </property>
  <property fmtid="{D5CDD505-2E9C-101B-9397-08002B2CF9AE}" pid="6" name="_Author">
    <vt:lpwstr>mratnayake</vt:lpwstr>
  </property>
  <property fmtid="{D5CDD505-2E9C-101B-9397-08002B2CF9AE}" pid="7" name="_Category">
    <vt:lpwstr/>
  </property>
  <property fmtid="{D5CDD505-2E9C-101B-9397-08002B2CF9AE}" pid="8" name="Categories">
    <vt:lpwstr/>
  </property>
  <property fmtid="{D5CDD505-2E9C-101B-9397-08002B2CF9AE}" pid="9" name="Approval Level">
    <vt:lpwstr/>
  </property>
  <property fmtid="{D5CDD505-2E9C-101B-9397-08002B2CF9AE}" pid="10" name="_Comments">
    <vt:lpwstr/>
  </property>
  <property fmtid="{D5CDD505-2E9C-101B-9397-08002B2CF9AE}" pid="11" name="Assigned To">
    <vt:lpwstr/>
  </property>
</Properties>
</file>