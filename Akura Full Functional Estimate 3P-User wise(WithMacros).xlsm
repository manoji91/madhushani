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harts/chart1.xml" ContentType="application/vnd.openxmlformats-officedocument.drawingml.chart+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updateLinks="never" codeName="ThisWorkbook"/>
  <bookViews>
    <workbookView xWindow="1170" yWindow="900" windowWidth="15180" windowHeight="8535" tabRatio="838" activeTab="1"/>
  </bookViews>
  <sheets>
    <sheet name="Confidentiality Note" sheetId="9" r:id="rId1"/>
    <sheet name="Detailed Task Estimates" sheetId="1" r:id="rId2"/>
    <sheet name="Effort Summary" sheetId="13" r:id="rId3"/>
    <sheet name="Detailed Risk Impact Estimates" sheetId="4" r:id="rId4"/>
    <sheet name="Assumptions" sheetId="3" r:id="rId5"/>
    <sheet name="PERT Guidelines" sheetId="10" r:id="rId6"/>
    <sheet name="Estimation Metrics" sheetId="12" r:id="rId7"/>
  </sheets>
  <externalReferences>
    <externalReference r:id="rId8"/>
  </externalReferences>
  <definedNames>
    <definedName name="_xlnm._FilterDatabase" localSheetId="1" hidden="1">'Effort Summary'!$G$2:$I$6</definedName>
    <definedName name="Complexity" localSheetId="6">[1]Data!$A$13:$A$15</definedName>
    <definedName name="ComplexityData" localSheetId="6">'[1]Detailed Task Estimates'!$D$5:$D$178</definedName>
    <definedName name="Expected_Effort" localSheetId="6">'[1]Detailed Task Estimates'!$I$5:$I$178</definedName>
    <definedName name="Expected_Effort">'Detailed Task Estimates'!$G$14:$G$44</definedName>
    <definedName name="Expert_Team_Productivity_Multiplier" localSheetId="6">'Estimation Metrics'!$B$4</definedName>
    <definedName name="Expert_Team_Productivity_Multiplier">'Detailed Task Estimates'!$P$8</definedName>
    <definedName name="Green_Team_Productivity_Multiplier" localSheetId="6">'Estimation Metrics'!$B$3</definedName>
    <definedName name="Green_Team_Productivity_Multiplier">'Detailed Task Estimates'!$P$7</definedName>
    <definedName name="nr_avg">'Detailed Task Estimates'!$H$13</definedName>
    <definedName name="nr_expeffET">'Detailed Task Estimates'!$S$12</definedName>
    <definedName name="nr_expeffGT">'Detailed Task Estimates'!$O$12</definedName>
    <definedName name="nr_expteffort">'Detailed Task Estimates'!$G$13</definedName>
    <definedName name="nr_MostLikely">'Detailed Task Estimates'!$E$12</definedName>
    <definedName name="nr_No">'Detailed Task Estimates'!$A$11</definedName>
    <definedName name="nr_Optimistic">'Detailed Task Estimates'!$D$12</definedName>
    <definedName name="nr_Pessimistic">'Detailed Task Estimates'!$F$12</definedName>
    <definedName name="nr_SD">'Detailed Task Estimates'!$I$13</definedName>
    <definedName name="nr_TaskName">'Detailed Task Estimates'!$B$11</definedName>
    <definedName name="nr_Type">'Detailed Task Estimates'!$C$11</definedName>
    <definedName name="nr_Variance">'Detailed Task Estimates'!$J$13</definedName>
    <definedName name="Project_Type" localSheetId="6">[1]Data!$B$4:$B$9</definedName>
    <definedName name="Risk_Category_List" localSheetId="6">[1]Data!$A$18:$A$26</definedName>
    <definedName name="Risk_Category_List">'Detailed Risk Impact Estimates'!$AB$4:$AB$12</definedName>
    <definedName name="Task_Types">'Effort Summary'!$B$3:$B$25</definedName>
    <definedName name="Task_Types__Core_GIP_Disipline" localSheetId="6">[1]Data!$A$4:$A$10</definedName>
  </definedNames>
  <calcPr calcId="145621"/>
</workbook>
</file>

<file path=xl/calcChain.xml><?xml version="1.0" encoding="utf-8"?>
<calcChain xmlns="http://schemas.openxmlformats.org/spreadsheetml/2006/main">
  <c r="C17" i="3" l="1"/>
  <c r="A24" i="1"/>
  <c r="R24" i="1"/>
  <c r="S24" i="1" s="1"/>
  <c r="Q24" i="1"/>
  <c r="P24" i="1"/>
  <c r="N24" i="1"/>
  <c r="O24" i="1" s="1"/>
  <c r="M24" i="1"/>
  <c r="L24" i="1"/>
  <c r="J24" i="1"/>
  <c r="I24" i="1" s="1"/>
  <c r="H24" i="1"/>
  <c r="G24" i="1"/>
  <c r="A32" i="1"/>
  <c r="R32" i="1"/>
  <c r="Q32" i="1"/>
  <c r="P32" i="1"/>
  <c r="N32" i="1"/>
  <c r="M32" i="1"/>
  <c r="L32" i="1"/>
  <c r="J32" i="1"/>
  <c r="I32" i="1" s="1"/>
  <c r="H32" i="1"/>
  <c r="G32" i="1"/>
  <c r="O32" i="1" l="1"/>
  <c r="S32" i="1"/>
  <c r="A33" i="1"/>
  <c r="R33" i="1"/>
  <c r="Q33" i="1"/>
  <c r="P33" i="1"/>
  <c r="N33" i="1"/>
  <c r="M33" i="1"/>
  <c r="L33" i="1"/>
  <c r="J33" i="1"/>
  <c r="I33" i="1"/>
  <c r="H33" i="1"/>
  <c r="G33" i="1"/>
  <c r="A26" i="1"/>
  <c r="R26" i="1"/>
  <c r="Q26" i="1"/>
  <c r="P26" i="1"/>
  <c r="N26" i="1"/>
  <c r="M26" i="1"/>
  <c r="O26" i="1" s="1"/>
  <c r="L26" i="1"/>
  <c r="J26" i="1"/>
  <c r="I26" i="1" s="1"/>
  <c r="H26" i="1"/>
  <c r="G26" i="1"/>
  <c r="A27" i="1"/>
  <c r="R27" i="1"/>
  <c r="Q27" i="1"/>
  <c r="P27" i="1"/>
  <c r="N27" i="1"/>
  <c r="M27" i="1"/>
  <c r="L27" i="1"/>
  <c r="J27" i="1"/>
  <c r="I27" i="1" s="1"/>
  <c r="H27" i="1"/>
  <c r="G27" i="1"/>
  <c r="A28" i="1"/>
  <c r="R28" i="1"/>
  <c r="Q28" i="1"/>
  <c r="P28" i="1"/>
  <c r="N28" i="1"/>
  <c r="M28" i="1"/>
  <c r="L28" i="1"/>
  <c r="J28" i="1"/>
  <c r="I28" i="1" s="1"/>
  <c r="H28" i="1"/>
  <c r="G28" i="1"/>
  <c r="A29" i="1"/>
  <c r="R29" i="1"/>
  <c r="Q29" i="1"/>
  <c r="P29" i="1"/>
  <c r="N29" i="1"/>
  <c r="M29" i="1"/>
  <c r="L29" i="1"/>
  <c r="J29" i="1"/>
  <c r="I29" i="1" s="1"/>
  <c r="H29" i="1"/>
  <c r="G29" i="1"/>
  <c r="A30" i="1"/>
  <c r="R30" i="1"/>
  <c r="Q30" i="1"/>
  <c r="P30" i="1"/>
  <c r="N30" i="1"/>
  <c r="M30" i="1"/>
  <c r="L30" i="1"/>
  <c r="J30" i="1"/>
  <c r="I30" i="1" s="1"/>
  <c r="H30" i="1"/>
  <c r="G30" i="1"/>
  <c r="A31" i="1"/>
  <c r="R31" i="1"/>
  <c r="Q31" i="1"/>
  <c r="P31" i="1"/>
  <c r="N31" i="1"/>
  <c r="M31" i="1"/>
  <c r="L31" i="1"/>
  <c r="J31" i="1"/>
  <c r="I31" i="1" s="1"/>
  <c r="H31" i="1"/>
  <c r="G31" i="1"/>
  <c r="A25" i="1"/>
  <c r="R25" i="1"/>
  <c r="Q25" i="1"/>
  <c r="P25" i="1"/>
  <c r="N25" i="1"/>
  <c r="M25" i="1"/>
  <c r="L25" i="1"/>
  <c r="J25" i="1"/>
  <c r="I25" i="1" s="1"/>
  <c r="H25" i="1"/>
  <c r="G25" i="1"/>
  <c r="A22" i="1"/>
  <c r="R22" i="1"/>
  <c r="Q22" i="1"/>
  <c r="P22" i="1"/>
  <c r="N22" i="1"/>
  <c r="M22" i="1"/>
  <c r="L22" i="1"/>
  <c r="J22" i="1"/>
  <c r="I22" i="1" s="1"/>
  <c r="H22" i="1"/>
  <c r="G22" i="1"/>
  <c r="A21" i="1"/>
  <c r="R21" i="1"/>
  <c r="Q21" i="1"/>
  <c r="P21" i="1"/>
  <c r="N21" i="1"/>
  <c r="M21" i="1"/>
  <c r="L21" i="1"/>
  <c r="J21" i="1"/>
  <c r="I21" i="1" s="1"/>
  <c r="H21" i="1"/>
  <c r="G21" i="1"/>
  <c r="A20" i="1"/>
  <c r="R20" i="1"/>
  <c r="Q20" i="1"/>
  <c r="P20" i="1"/>
  <c r="N20" i="1"/>
  <c r="M20" i="1"/>
  <c r="L20" i="1"/>
  <c r="J20" i="1"/>
  <c r="I20" i="1" s="1"/>
  <c r="H20" i="1"/>
  <c r="G20" i="1"/>
  <c r="A19" i="1"/>
  <c r="R19" i="1"/>
  <c r="Q19" i="1"/>
  <c r="P19" i="1"/>
  <c r="N19" i="1"/>
  <c r="M19" i="1"/>
  <c r="L19" i="1"/>
  <c r="J19" i="1"/>
  <c r="I19" i="1" s="1"/>
  <c r="H19" i="1"/>
  <c r="G19" i="1"/>
  <c r="A18" i="1"/>
  <c r="R18" i="1"/>
  <c r="Q18" i="1"/>
  <c r="P18" i="1"/>
  <c r="N18" i="1"/>
  <c r="M18" i="1"/>
  <c r="L18" i="1"/>
  <c r="J18" i="1"/>
  <c r="I18" i="1" s="1"/>
  <c r="H18" i="1"/>
  <c r="G18" i="1"/>
  <c r="S33" i="1" l="1"/>
  <c r="O33" i="1"/>
  <c r="S27" i="1"/>
  <c r="S26" i="1"/>
  <c r="O27" i="1"/>
  <c r="O29" i="1"/>
  <c r="S28" i="1"/>
  <c r="S29" i="1"/>
  <c r="O28" i="1"/>
  <c r="S30" i="1"/>
  <c r="O30" i="1"/>
  <c r="S31" i="1"/>
  <c r="O31" i="1"/>
  <c r="O25" i="1"/>
  <c r="S25" i="1"/>
  <c r="S22" i="1"/>
  <c r="O22" i="1"/>
  <c r="O21" i="1"/>
  <c r="S21" i="1"/>
  <c r="S20" i="1"/>
  <c r="O20" i="1"/>
  <c r="S19" i="1"/>
  <c r="O19" i="1"/>
  <c r="O18" i="1"/>
  <c r="S18" i="1"/>
  <c r="E25" i="13"/>
  <c r="D25" i="13"/>
  <c r="E24" i="13"/>
  <c r="D24" i="13"/>
  <c r="E23" i="13"/>
  <c r="D23" i="13"/>
  <c r="E22" i="13"/>
  <c r="D22" i="13"/>
  <c r="E21" i="13"/>
  <c r="D21" i="13"/>
  <c r="E20" i="13"/>
  <c r="D20" i="13"/>
  <c r="E19" i="13"/>
  <c r="D19" i="13"/>
  <c r="E18" i="13"/>
  <c r="D18" i="13"/>
  <c r="E17" i="13"/>
  <c r="D17" i="13"/>
  <c r="E16" i="13"/>
  <c r="D16" i="13"/>
  <c r="E15" i="13"/>
  <c r="D15" i="13"/>
  <c r="E14" i="13"/>
  <c r="D14" i="13"/>
  <c r="E13" i="13"/>
  <c r="D13" i="13"/>
  <c r="E12" i="13"/>
  <c r="D12" i="13"/>
  <c r="E11" i="13"/>
  <c r="D11" i="13"/>
  <c r="E10" i="13"/>
  <c r="D10" i="13"/>
  <c r="E9" i="13"/>
  <c r="D9" i="13"/>
  <c r="E8" i="13"/>
  <c r="D8" i="13"/>
  <c r="E7" i="13"/>
  <c r="D7" i="13"/>
  <c r="E6" i="13"/>
  <c r="D6" i="13"/>
  <c r="E5" i="13"/>
  <c r="D5" i="13"/>
  <c r="E4" i="13"/>
  <c r="D4" i="13"/>
  <c r="E3" i="13"/>
  <c r="D3" i="13"/>
  <c r="D26" i="13" l="1"/>
  <c r="E26" i="13"/>
  <c r="CJ1" i="9"/>
  <c r="F9" i="13"/>
  <c r="A37" i="1"/>
  <c r="A38" i="1"/>
  <c r="A39" i="1"/>
  <c r="A40" i="1"/>
  <c r="A41" i="1"/>
  <c r="A42" i="1"/>
  <c r="A43" i="1"/>
  <c r="A44" i="1"/>
  <c r="A14" i="1"/>
  <c r="A15" i="1"/>
  <c r="A16" i="1"/>
  <c r="A17" i="1"/>
  <c r="A23" i="1"/>
  <c r="A34" i="1"/>
  <c r="A35" i="1"/>
  <c r="A36" i="1"/>
  <c r="C73" i="3"/>
  <c r="C60" i="3"/>
  <c r="C47" i="3"/>
  <c r="C34" i="3"/>
  <c r="C4" i="3"/>
  <c r="R40" i="1"/>
  <c r="Q40" i="1"/>
  <c r="P40" i="1"/>
  <c r="N40" i="1"/>
  <c r="M40" i="1"/>
  <c r="L40" i="1"/>
  <c r="J40" i="1"/>
  <c r="I40" i="1" s="1"/>
  <c r="H40" i="1"/>
  <c r="G40" i="1"/>
  <c r="C45" i="4"/>
  <c r="C43" i="4"/>
  <c r="C41" i="4"/>
  <c r="C40" i="4"/>
  <c r="C39" i="4"/>
  <c r="C38" i="4"/>
  <c r="C37" i="4"/>
  <c r="P14" i="1"/>
  <c r="Q14" i="1"/>
  <c r="R14" i="1"/>
  <c r="P15" i="1"/>
  <c r="Q15" i="1"/>
  <c r="R15" i="1"/>
  <c r="P16" i="1"/>
  <c r="Q16" i="1"/>
  <c r="R16" i="1"/>
  <c r="P17" i="1"/>
  <c r="Q17" i="1"/>
  <c r="R17" i="1"/>
  <c r="P23" i="1"/>
  <c r="Q23" i="1"/>
  <c r="R23" i="1"/>
  <c r="P34" i="1"/>
  <c r="Q34" i="1"/>
  <c r="R34" i="1"/>
  <c r="P35" i="1"/>
  <c r="Q35" i="1"/>
  <c r="R35" i="1"/>
  <c r="P36" i="1"/>
  <c r="Q36" i="1"/>
  <c r="R36" i="1"/>
  <c r="P37" i="1"/>
  <c r="Q37" i="1"/>
  <c r="R37" i="1"/>
  <c r="P38" i="1"/>
  <c r="Q38" i="1"/>
  <c r="R38" i="1"/>
  <c r="P39" i="1"/>
  <c r="Q39" i="1"/>
  <c r="R39" i="1"/>
  <c r="P41" i="1"/>
  <c r="Q41" i="1"/>
  <c r="R41" i="1"/>
  <c r="P42" i="1"/>
  <c r="Q42" i="1"/>
  <c r="R42" i="1"/>
  <c r="P43" i="1"/>
  <c r="Q43" i="1"/>
  <c r="R43" i="1"/>
  <c r="P44" i="1"/>
  <c r="Q44" i="1"/>
  <c r="R44" i="1"/>
  <c r="L14" i="1"/>
  <c r="M14" i="1"/>
  <c r="N14" i="1"/>
  <c r="L15" i="1"/>
  <c r="M15" i="1"/>
  <c r="N15" i="1"/>
  <c r="L16" i="1"/>
  <c r="M16" i="1"/>
  <c r="N16" i="1"/>
  <c r="L17" i="1"/>
  <c r="M17" i="1"/>
  <c r="N17" i="1"/>
  <c r="L23" i="1"/>
  <c r="M23" i="1"/>
  <c r="N23" i="1"/>
  <c r="L34" i="1"/>
  <c r="M34" i="1"/>
  <c r="N34" i="1"/>
  <c r="L35" i="1"/>
  <c r="M35" i="1"/>
  <c r="N35" i="1"/>
  <c r="L36" i="1"/>
  <c r="M36" i="1"/>
  <c r="N36" i="1"/>
  <c r="L37" i="1"/>
  <c r="M37" i="1"/>
  <c r="N37" i="1"/>
  <c r="L38" i="1"/>
  <c r="M38" i="1"/>
  <c r="N38" i="1"/>
  <c r="L39" i="1"/>
  <c r="M39" i="1"/>
  <c r="N39" i="1"/>
  <c r="L41" i="1"/>
  <c r="M41" i="1"/>
  <c r="N41" i="1"/>
  <c r="L42" i="1"/>
  <c r="M42" i="1"/>
  <c r="N42" i="1"/>
  <c r="L43" i="1"/>
  <c r="M43" i="1"/>
  <c r="N43" i="1"/>
  <c r="L44" i="1"/>
  <c r="M44" i="1"/>
  <c r="N44" i="1"/>
  <c r="F17" i="13"/>
  <c r="F18" i="13"/>
  <c r="F19" i="13"/>
  <c r="F21" i="13"/>
  <c r="F22" i="13"/>
  <c r="F23" i="13"/>
  <c r="F24" i="13"/>
  <c r="F25" i="13"/>
  <c r="G14" i="1"/>
  <c r="H14" i="1"/>
  <c r="J14" i="1"/>
  <c r="I14" i="1" s="1"/>
  <c r="G15" i="1"/>
  <c r="H15" i="1"/>
  <c r="J15" i="1"/>
  <c r="I15" i="1" s="1"/>
  <c r="G16" i="1"/>
  <c r="H16" i="1"/>
  <c r="J16" i="1"/>
  <c r="I16" i="1" s="1"/>
  <c r="G17" i="1"/>
  <c r="H17" i="1"/>
  <c r="J17" i="1"/>
  <c r="I17" i="1" s="1"/>
  <c r="G23" i="1"/>
  <c r="H23" i="1"/>
  <c r="J23" i="1"/>
  <c r="I23" i="1" s="1"/>
  <c r="G34" i="1"/>
  <c r="H34" i="1"/>
  <c r="J34" i="1"/>
  <c r="I34" i="1" s="1"/>
  <c r="G35" i="1"/>
  <c r="H35" i="1"/>
  <c r="J35" i="1"/>
  <c r="I35" i="1" s="1"/>
  <c r="G36" i="1"/>
  <c r="H36" i="1"/>
  <c r="J36" i="1"/>
  <c r="I36" i="1" s="1"/>
  <c r="G37" i="1"/>
  <c r="H37" i="1"/>
  <c r="J37" i="1"/>
  <c r="I37" i="1" s="1"/>
  <c r="G38" i="1"/>
  <c r="H38" i="1"/>
  <c r="J38" i="1"/>
  <c r="I38" i="1" s="1"/>
  <c r="G39" i="1"/>
  <c r="H39" i="1"/>
  <c r="J39" i="1"/>
  <c r="I39" i="1" s="1"/>
  <c r="G41" i="1"/>
  <c r="H41" i="1"/>
  <c r="J41" i="1"/>
  <c r="I41" i="1" s="1"/>
  <c r="G42" i="1"/>
  <c r="H42" i="1"/>
  <c r="J42" i="1"/>
  <c r="I42" i="1" s="1"/>
  <c r="G43" i="1"/>
  <c r="H43" i="1"/>
  <c r="J43" i="1"/>
  <c r="I43" i="1" s="1"/>
  <c r="G44" i="1"/>
  <c r="H44" i="1"/>
  <c r="J44" i="1"/>
  <c r="I44" i="1" s="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 i="4"/>
  <c r="C44" i="4" s="1"/>
  <c r="C46" i="4"/>
  <c r="C42" i="4" l="1"/>
  <c r="F33" i="4"/>
  <c r="C47" i="4"/>
  <c r="C8" i="1" s="1"/>
  <c r="F20" i="13"/>
  <c r="S15" i="1"/>
  <c r="S40" i="1"/>
  <c r="F4" i="13"/>
  <c r="F8" i="13"/>
  <c r="F10" i="13"/>
  <c r="F12" i="13"/>
  <c r="F14" i="13"/>
  <c r="F16" i="13"/>
  <c r="F13" i="13"/>
  <c r="F5" i="13"/>
  <c r="F15" i="13"/>
  <c r="F11" i="13"/>
  <c r="F3" i="13"/>
  <c r="S42" i="1"/>
  <c r="O40" i="1"/>
  <c r="O41" i="1"/>
  <c r="O35" i="1"/>
  <c r="O17" i="1"/>
  <c r="S23" i="1"/>
  <c r="S34" i="1"/>
  <c r="S16" i="1"/>
  <c r="O43" i="1"/>
  <c r="O38" i="1"/>
  <c r="O23" i="1"/>
  <c r="O15" i="1"/>
  <c r="S36" i="1"/>
  <c r="D46" i="4"/>
  <c r="D39" i="4"/>
  <c r="D43" i="4"/>
  <c r="S44" i="1"/>
  <c r="S43" i="1"/>
  <c r="S17" i="1"/>
  <c r="S41" i="1"/>
  <c r="S38" i="1"/>
  <c r="O44" i="1"/>
  <c r="O42" i="1"/>
  <c r="O39" i="1"/>
  <c r="O37" i="1"/>
  <c r="O36" i="1"/>
  <c r="O34" i="1"/>
  <c r="O16" i="1"/>
  <c r="O14" i="1"/>
  <c r="S39" i="1"/>
  <c r="S37" i="1"/>
  <c r="S35" i="1"/>
  <c r="S14" i="1"/>
  <c r="D42" i="4" l="1"/>
  <c r="D40" i="4"/>
  <c r="D45" i="4"/>
  <c r="D41" i="4"/>
  <c r="D37" i="4"/>
  <c r="D44" i="4"/>
  <c r="D38" i="4"/>
  <c r="F6" i="13"/>
  <c r="F7" i="13"/>
  <c r="G45" i="1"/>
  <c r="J45" i="1"/>
  <c r="I45" i="1" s="1"/>
  <c r="H45" i="1"/>
  <c r="S45" i="1"/>
  <c r="O45" i="1"/>
  <c r="D47" i="4" l="1"/>
  <c r="F26" i="13"/>
  <c r="J7" i="1"/>
  <c r="J8" i="1"/>
  <c r="C7" i="1"/>
  <c r="C9" i="1" s="1"/>
  <c r="H26" i="13" l="1"/>
  <c r="I26" i="13"/>
</calcChain>
</file>

<file path=xl/comments1.xml><?xml version="1.0" encoding="utf-8"?>
<comments xmlns="http://schemas.openxmlformats.org/spreadsheetml/2006/main">
  <authors>
    <author>Vasudeva Sharma</author>
  </authors>
  <commentList>
    <comment ref="B26" authorId="0">
      <text>
        <r>
          <rPr>
            <b/>
            <sz val="9"/>
            <color indexed="81"/>
            <rFont val="Tahoma"/>
            <family val="2"/>
          </rPr>
          <t>Note:</t>
        </r>
        <r>
          <rPr>
            <sz val="9"/>
            <color indexed="81"/>
            <rFont val="Tahoma"/>
            <family val="2"/>
          </rPr>
          <t xml:space="preserve">
</t>
        </r>
        <r>
          <rPr>
            <sz val="9"/>
            <color indexed="81"/>
            <rFont val="Calibri"/>
            <family val="2"/>
            <scheme val="minor"/>
          </rPr>
          <t>Total Project Effort excludes Training Effort</t>
        </r>
      </text>
    </comment>
  </commentList>
</comments>
</file>

<file path=xl/sharedStrings.xml><?xml version="1.0" encoding="utf-8"?>
<sst xmlns="http://schemas.openxmlformats.org/spreadsheetml/2006/main" count="297" uniqueCount="179">
  <si>
    <t>Task Name</t>
  </si>
  <si>
    <t>Normal Team</t>
  </si>
  <si>
    <t>Green Team</t>
  </si>
  <si>
    <t>Expert Team</t>
  </si>
  <si>
    <t>Risk Description</t>
  </si>
  <si>
    <t>Variance</t>
  </si>
  <si>
    <t>No.</t>
  </si>
  <si>
    <t>Task Type</t>
  </si>
  <si>
    <t>Design</t>
  </si>
  <si>
    <t>Deployment</t>
  </si>
  <si>
    <t>Environment</t>
  </si>
  <si>
    <t>Customer</t>
  </si>
  <si>
    <t>Project</t>
  </si>
  <si>
    <t>Estimators</t>
  </si>
  <si>
    <t>Risk Category List</t>
  </si>
  <si>
    <t>Technical</t>
  </si>
  <si>
    <t>Travel and Logistic</t>
  </si>
  <si>
    <t>Requirement and Scope</t>
  </si>
  <si>
    <t>Schedule</t>
  </si>
  <si>
    <t>Quality</t>
  </si>
  <si>
    <t>Cost</t>
  </si>
  <si>
    <t>Team</t>
  </si>
  <si>
    <t>TOTAL</t>
  </si>
  <si>
    <t>Percentage</t>
  </si>
  <si>
    <t>Green Team Productivity Multiplier</t>
  </si>
  <si>
    <t>Expert Team Productivity Multiplier</t>
  </si>
  <si>
    <t>Reviewed by</t>
  </si>
  <si>
    <t>Review Date</t>
  </si>
  <si>
    <t>Standard Deviation</t>
  </si>
  <si>
    <t>Other</t>
  </si>
  <si>
    <t>Average</t>
  </si>
  <si>
    <t>Average Risk Impact Estimate Type Summary</t>
  </si>
  <si>
    <t>TOTAL ESTIMATED RISK IMPACT</t>
  </si>
  <si>
    <t>Risk Category</t>
  </si>
  <si>
    <t>Expected Effort</t>
  </si>
  <si>
    <t>Probability of Occurrence</t>
  </si>
  <si>
    <t>TOTAL EFFORT (Green Team)</t>
  </si>
  <si>
    <t>TOTAL EFFORT (Expert Team)</t>
  </si>
  <si>
    <t>Testing</t>
  </si>
  <si>
    <t>Note:</t>
  </si>
  <si>
    <t>These documents should always be kept securely and employees shall use</t>
  </si>
  <si>
    <t>reasonable care protecting these documents from unauthorized use or disclosure to a third party.</t>
  </si>
  <si>
    <t xml:space="preserve">These documents are strictly for specific Virtusa/Client use only. </t>
  </si>
  <si>
    <t xml:space="preserve">They shall not be shared with an external party other than the Client concerned.   </t>
  </si>
  <si>
    <t>This category also covers Client intellectual property where Virtusa has a non-disclosure agreement with the Client.</t>
  </si>
  <si>
    <t xml:space="preserve">CLIENT CONFIDENTIAL           Template ID:TMP-PM-PE-5-001         Copyright © 2004 Virtusa Corporation           </t>
  </si>
  <si>
    <t>Project Estimate 3P</t>
  </si>
  <si>
    <t>Project Planning</t>
  </si>
  <si>
    <t>Project Tracking</t>
  </si>
  <si>
    <t>Requirements</t>
  </si>
  <si>
    <t>Code Review</t>
  </si>
  <si>
    <t>Test Cycle 1</t>
  </si>
  <si>
    <t>MM/DD/YYYY</t>
  </si>
  <si>
    <t>Average Risk - Hours</t>
  </si>
  <si>
    <t>Expected Effort - P Hours 
(Normal Team)</t>
  </si>
  <si>
    <t>Optimistic Effort
P Hours</t>
  </si>
  <si>
    <t>Most Likely Effort
P Hours</t>
  </si>
  <si>
    <t>Pessimistic Effort
P Hours</t>
  </si>
  <si>
    <t>Total Risk Impact Estimate (P Hours)</t>
  </si>
  <si>
    <t>Total Effort Estimate (P Hours)</t>
  </si>
  <si>
    <t>Expected Effort
P Hours
(Green Team)</t>
  </si>
  <si>
    <t>Expected Effort
P Hours
(Expert Team)</t>
  </si>
  <si>
    <t>See below for Risk Impact Summary</t>
  </si>
  <si>
    <t>Expected Risk Impact
P Hours</t>
  </si>
  <si>
    <t>Estimated impact
P Hours</t>
  </si>
  <si>
    <t>Chorus Risk Id</t>
  </si>
  <si>
    <r>
      <t>1.</t>
    </r>
    <r>
      <rPr>
        <sz val="7"/>
        <color indexed="12"/>
        <rFont val="Times New Roman"/>
        <family val="1"/>
      </rPr>
      <t xml:space="preserve">       </t>
    </r>
    <r>
      <rPr>
        <sz val="11"/>
        <color indexed="12"/>
        <rFont val="Calibri"/>
        <family val="2"/>
      </rPr>
      <t>Guidelines for determining the best, most likely, and worst case estimates</t>
    </r>
  </si>
  <si>
    <r>
      <t>a.</t>
    </r>
    <r>
      <rPr>
        <sz val="7"/>
        <color indexed="12"/>
        <rFont val="Times New Roman"/>
        <family val="1"/>
      </rPr>
      <t xml:space="preserve">       </t>
    </r>
    <r>
      <rPr>
        <sz val="11"/>
        <color indexed="12"/>
        <rFont val="Calibri"/>
        <family val="2"/>
      </rPr>
      <t>Best case is usually on slightly better than most likely.  If best case is more than 25% less than most likely it is probably not valid (e.g. most likely 8hr, best case 6 hrs is OK,  most likely 8hr, best case 4hr is not a good estimate)</t>
    </r>
  </si>
  <si>
    <r>
      <t>b.</t>
    </r>
    <r>
      <rPr>
        <sz val="7"/>
        <color indexed="12"/>
        <rFont val="Times New Roman"/>
        <family val="1"/>
      </rPr>
      <t xml:space="preserve">      </t>
    </r>
    <r>
      <rPr>
        <sz val="11"/>
        <color indexed="12"/>
        <rFont val="Calibri"/>
        <family val="2"/>
      </rPr>
      <t>Worst case is usually significantly more than most likely.  Worst case  is usually between 50% and 300% more than most likely case (e.g. most likely 8hr, worst case 16hr is OK, most likely 8hr, worst case 10hr is probably not a good estimate)</t>
    </r>
  </si>
  <si>
    <r>
      <t>c.</t>
    </r>
    <r>
      <rPr>
        <sz val="7"/>
        <color indexed="12"/>
        <rFont val="Times New Roman"/>
        <family val="1"/>
      </rPr>
      <t xml:space="preserve">       </t>
    </r>
    <r>
      <rPr>
        <sz val="11"/>
        <color indexed="12"/>
        <rFont val="Calibri"/>
        <family val="2"/>
      </rPr>
      <t>These guidelines are based on the shape of the probability curve (see below) for completing software tasks.</t>
    </r>
  </si>
  <si>
    <r>
      <t>2.</t>
    </r>
    <r>
      <rPr>
        <sz val="7"/>
        <color indexed="12"/>
        <rFont val="Times New Roman"/>
        <family val="1"/>
      </rPr>
      <t xml:space="preserve">       </t>
    </r>
    <r>
      <rPr>
        <sz val="11"/>
        <color indexed="12"/>
        <rFont val="Calibri"/>
        <family val="2"/>
      </rPr>
      <t>The risks need to be identified and quantified with level of effort and probability.  This is important because the risk buffer for the project estimate is generated as the sum of the risk buffer for each risk and the risk buffer for a risk is the probability times the level of effort.</t>
    </r>
  </si>
  <si>
    <r>
      <t>a.</t>
    </r>
    <r>
      <rPr>
        <sz val="7"/>
        <color indexed="12"/>
        <rFont val="Times New Roman"/>
        <family val="1"/>
      </rPr>
      <t xml:space="preserve">       </t>
    </r>
    <r>
      <rPr>
        <sz val="11"/>
        <color indexed="12"/>
        <rFont val="Calibri"/>
        <family val="2"/>
      </rPr>
      <t>This should be documented.</t>
    </r>
  </si>
  <si>
    <r>
      <t>3.</t>
    </r>
    <r>
      <rPr>
        <sz val="7"/>
        <color indexed="12"/>
        <rFont val="Times New Roman"/>
        <family val="1"/>
      </rPr>
      <t xml:space="preserve">       </t>
    </r>
    <r>
      <rPr>
        <sz val="11"/>
        <color indexed="12"/>
        <rFont val="Calibri"/>
        <family val="2"/>
      </rPr>
      <t>The estimate should be taken off of the summary page. If a single number is desired than the 84% confidence level should be used.  If a range is desired then the lower point should be the 50% confidence level and the upper range should be the 98% confidence level.</t>
    </r>
  </si>
  <si>
    <r>
      <t>a.</t>
    </r>
    <r>
      <rPr>
        <sz val="7"/>
        <color indexed="12"/>
        <rFont val="Times New Roman"/>
        <family val="1"/>
      </rPr>
      <t xml:space="preserve">       </t>
    </r>
    <r>
      <rPr>
        <sz val="11"/>
        <color indexed="12"/>
        <rFont val="Calibri"/>
        <family val="2"/>
      </rPr>
      <t>One common error is to use the total expected effort from the detailed task estimate sheet.  This provides an underestimate in two ways.    One there is no risk buffer, and two this is a 50% confidence level implying that 50% of projects will finish after this timeframe.</t>
    </r>
  </si>
  <si>
    <r>
      <t>b.</t>
    </r>
    <r>
      <rPr>
        <sz val="7"/>
        <color indexed="12"/>
        <rFont val="Times New Roman"/>
        <family val="1"/>
      </rPr>
      <t xml:space="preserve">      </t>
    </r>
    <r>
      <rPr>
        <sz val="11"/>
        <color indexed="12"/>
        <rFont val="Calibri"/>
        <family val="2"/>
      </rPr>
      <t>Another common error is to use the Expected effort from the summary sheet.  This includes the risk buffer, but still has the 50% confidence level issue.</t>
    </r>
  </si>
  <si>
    <r>
      <t xml:space="preserve">Assumptions </t>
    </r>
    <r>
      <rPr>
        <sz val="11"/>
        <rFont val="Calibri"/>
        <family val="2"/>
      </rPr>
      <t>(List out all assumptions related to the estimates)</t>
    </r>
  </si>
  <si>
    <r>
      <t>Risk Impact Details</t>
    </r>
    <r>
      <rPr>
        <b/>
        <sz val="8"/>
        <rFont val="Calibri"/>
        <family val="2"/>
      </rPr>
      <t xml:space="preserve"> </t>
    </r>
    <r>
      <rPr>
        <sz val="9"/>
        <rFont val="Calibri"/>
        <family val="2"/>
      </rPr>
      <t>(List out all identified risks and estimate impact in terms of effort)</t>
    </r>
  </si>
  <si>
    <t>&lt; End of Data &gt;</t>
  </si>
  <si>
    <r>
      <rPr>
        <u/>
        <sz val="11"/>
        <rFont val="Calibri"/>
        <family val="2"/>
      </rPr>
      <t>Please Note:</t>
    </r>
    <r>
      <rPr>
        <sz val="11"/>
        <rFont val="Calibri"/>
        <family val="2"/>
      </rPr>
      <t xml:space="preserve"> All kinds of assumptions that have an impact on the project estimates and project schedule should be documented and their corresponding impact assessed and aligned to the estimate</t>
    </r>
  </si>
  <si>
    <t>Guidelines</t>
  </si>
  <si>
    <t>Scope Related Assumptions</t>
  </si>
  <si>
    <t>General Assumptions</t>
  </si>
  <si>
    <t>Technical Assumptions</t>
  </si>
  <si>
    <t>Environment Related Assumptions</t>
  </si>
  <si>
    <t>Team and Skill Related Assumptions</t>
  </si>
  <si>
    <t>Re-use Related Assumptions</t>
  </si>
  <si>
    <t>Assumptions</t>
  </si>
  <si>
    <t>Description</t>
  </si>
  <si>
    <t>&lt;&lt;other adjustment factors&gt;&gt;</t>
  </si>
  <si>
    <t>Project Management</t>
  </si>
  <si>
    <t>Implementation</t>
  </si>
  <si>
    <t>Estimation Metrics</t>
  </si>
  <si>
    <t>Average Vacation and Sick Percentage</t>
  </si>
  <si>
    <t>Design Review</t>
  </si>
  <si>
    <t>Design Rework</t>
  </si>
  <si>
    <t>Code Rework</t>
  </si>
  <si>
    <t>Deployment Review</t>
  </si>
  <si>
    <t>Deployment Rework</t>
  </si>
  <si>
    <t>Cost of Quality</t>
  </si>
  <si>
    <t>Cost of Poor Quality</t>
  </si>
  <si>
    <t>Project Type</t>
  </si>
  <si>
    <t>OcM</t>
  </si>
  <si>
    <t>Requirements Review</t>
  </si>
  <si>
    <t>Requirements Rework</t>
  </si>
  <si>
    <t>Design Development</t>
  </si>
  <si>
    <t>Code Development</t>
  </si>
  <si>
    <t xml:space="preserve">Dev TC </t>
  </si>
  <si>
    <t xml:space="preserve">Dev Testing </t>
  </si>
  <si>
    <t>QA TC/Script Review</t>
  </si>
  <si>
    <t>QA TC/Script Rework</t>
  </si>
  <si>
    <t xml:space="preserve">QA Testing </t>
  </si>
  <si>
    <t>Optimistic</t>
  </si>
  <si>
    <t>Pessimistic</t>
  </si>
  <si>
    <t>Expected</t>
  </si>
  <si>
    <t>Effort %</t>
  </si>
  <si>
    <t>Phase</t>
  </si>
  <si>
    <t>COQ</t>
  </si>
  <si>
    <t>COPQ</t>
  </si>
  <si>
    <t>Yes</t>
  </si>
  <si>
    <t>Requirements Dev</t>
  </si>
  <si>
    <t>QA TC/Script Dev</t>
  </si>
  <si>
    <t>Deployment Dev</t>
  </si>
  <si>
    <t>Maintenance</t>
  </si>
  <si>
    <t>Architecture Dev</t>
  </si>
  <si>
    <t>Architecture Review</t>
  </si>
  <si>
    <t>Architecture Rework</t>
  </si>
  <si>
    <t>Total Project Effort</t>
  </si>
  <si>
    <t/>
  </si>
  <si>
    <r>
      <rPr>
        <b/>
        <sz val="10"/>
        <rFont val="Calibri"/>
        <family val="2"/>
        <scheme val="minor"/>
      </rPr>
      <t xml:space="preserve">84% </t>
    </r>
    <r>
      <rPr>
        <sz val="10"/>
        <rFont val="Calibri"/>
        <family val="2"/>
        <scheme val="minor"/>
      </rPr>
      <t xml:space="preserve">Confidence Estimate (P Hours) </t>
    </r>
    <r>
      <rPr>
        <b/>
        <sz val="10"/>
        <rFont val="Calibri"/>
        <family val="2"/>
        <scheme val="minor"/>
      </rPr>
      <t>(Recommended)</t>
    </r>
  </si>
  <si>
    <r>
      <rPr>
        <b/>
        <sz val="10"/>
        <rFont val="Calibri"/>
        <family val="2"/>
        <scheme val="minor"/>
      </rPr>
      <t xml:space="preserve">50% </t>
    </r>
    <r>
      <rPr>
        <sz val="10"/>
        <rFont val="Calibri"/>
        <family val="2"/>
        <scheme val="minor"/>
      </rPr>
      <t>Confidence Estimate (P Hours)</t>
    </r>
  </si>
  <si>
    <r>
      <rPr>
        <b/>
        <sz val="10"/>
        <rFont val="Calibri"/>
        <family val="2"/>
        <scheme val="minor"/>
      </rPr>
      <t xml:space="preserve">98% </t>
    </r>
    <r>
      <rPr>
        <sz val="10"/>
        <rFont val="Calibri"/>
        <family val="2"/>
        <scheme val="minor"/>
      </rPr>
      <t>Confidence Estimate (P Hours)</t>
    </r>
  </si>
  <si>
    <r>
      <t xml:space="preserve">Green Team Sanity Check
</t>
    </r>
    <r>
      <rPr>
        <sz val="10"/>
        <rFont val="Calibri"/>
        <family val="2"/>
        <scheme val="minor"/>
      </rPr>
      <t>Green team is with all junior team members. Use this figure to sanity check the Normal team estimate.</t>
    </r>
  </si>
  <si>
    <r>
      <t xml:space="preserve">Expert Team Sanity Check
</t>
    </r>
    <r>
      <rPr>
        <sz val="10"/>
        <rFont val="Calibri"/>
        <family val="2"/>
        <scheme val="minor"/>
      </rPr>
      <t>Expert team has expert level experience in doing the task. Use this figure to sanity check the Normal team estimate.</t>
    </r>
  </si>
  <si>
    <t>Refer  to PPB in Process Database for the suggested values</t>
  </si>
  <si>
    <t>Test Environment Setup</t>
  </si>
  <si>
    <t>Smoke Testing</t>
  </si>
  <si>
    <t>Entering defects</t>
  </si>
  <si>
    <t>Smoke Testing includes test data setup time as well</t>
  </si>
  <si>
    <t>There are three test cycles for the functional teting</t>
  </si>
  <si>
    <t>Admin user Functional Verification has doen in three browsers</t>
  </si>
  <si>
    <t>If new functnalities added that time will be separately estimated</t>
  </si>
  <si>
    <t xml:space="preserve">    Smoke Testing - Admin user Functions</t>
  </si>
  <si>
    <t xml:space="preserve">    Smoke Testing - Teacher user Functions</t>
  </si>
  <si>
    <t xml:space="preserve">    Smoke Testing - Clerical Staff  user Functions</t>
  </si>
  <si>
    <t xml:space="preserve">    Smoke Testing - Parent  user Functions</t>
  </si>
  <si>
    <t xml:space="preserve">    Smoke Testing - Student  user Functions</t>
  </si>
  <si>
    <t xml:space="preserve">    Smoke Testing - Customize User user Functions</t>
  </si>
  <si>
    <t>Functional Testing time includes functional Test results updation time as well</t>
  </si>
  <si>
    <t>Smoke Testing time includes smoke Test results updation time as well</t>
  </si>
  <si>
    <t>Functional Testing conducted on FF,Chrome and IE browsers</t>
  </si>
  <si>
    <t>Smoke testing conducted on only on FF browsers, but some of the complexity high functions will be tested in Chrome and IE browsers as well</t>
  </si>
  <si>
    <t>Test Cycle 2</t>
  </si>
  <si>
    <t>Verifying Defects</t>
  </si>
  <si>
    <t xml:space="preserve">    Regression Testing on the Defects fixing areas</t>
  </si>
  <si>
    <t>Test Cycle 3</t>
  </si>
  <si>
    <t>Test Cycle 3 tasks time for the verifying defects from the Test Cycle 2, depends on number of fixed defects nd Test Cycle 2</t>
  </si>
  <si>
    <t>Any issue related to Test Environment will impact the time lines</t>
  </si>
  <si>
    <t xml:space="preserve">Any delays in getting alerts and nortification for testing </t>
  </si>
  <si>
    <t xml:space="preserve">Testing Environment is ready at the time of testing starts </t>
  </si>
  <si>
    <t>Any additional requirement not mention in this estimate will be estimated separately</t>
  </si>
  <si>
    <t xml:space="preserve">As an prerequisite, all smoke test cases identified by the SQA consultant need to have passed in order to accept the build for functinal testing </t>
  </si>
  <si>
    <t>Experince user will spend the mostlikely estimated time to execute the testing tasks</t>
  </si>
  <si>
    <t>Test Environment Setup time includes tag deployment time, allocating modules among the testing team</t>
  </si>
  <si>
    <t>There will be no more than two regression cycles within the full functional test cycle</t>
  </si>
  <si>
    <t>Any performance bottleneck identified during testing which require design change or any considerable fixing time will impact on the timelines</t>
  </si>
  <si>
    <t>Any Security  bottleneck identified during testing which require design change or any considerable fixing time will impact on the timelines</t>
  </si>
  <si>
    <t>Test Cycle 2 and Test Cycle 3 time will be depend on the number of defects fixes given for the each release</t>
  </si>
  <si>
    <t xml:space="preserve">    Functional Testing - Admin user Functions</t>
  </si>
  <si>
    <t xml:space="preserve">    Functional Testing - Teacher user Functions</t>
  </si>
  <si>
    <t xml:space="preserve">    Functional Testing - Clerical Staff  user Functions</t>
  </si>
  <si>
    <t xml:space="preserve">    Functional Testing - Parent  user Functions</t>
  </si>
  <si>
    <t xml:space="preserve">    Functional Testing - Student  user Functions</t>
  </si>
  <si>
    <t xml:space="preserve">    Functional Testing - Customize User user Functions</t>
  </si>
  <si>
    <t>Data Migration testing time will not included in the estimate</t>
  </si>
  <si>
    <t>Testing time consider only with empty DB</t>
  </si>
  <si>
    <t>Entering defects/Verifying defects</t>
  </si>
  <si>
    <t>Entering defects/Verifying defects task contains 25% of the total Functional Testing effort</t>
  </si>
  <si>
    <t>Functional Testing</t>
  </si>
  <si>
    <t>Test Cycle 2 tasks time for the verifying defects from the Test Cycle 1, depends on number of defect fixes in Test Cycle 1</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</si>
</sst>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0.0%"/>
    <numFmt numFmtId="166" formatCode="[$-409]dd\-mmm\-yy;@"/>
  </numFmts>
  <fonts count="29" x14ac:knownFonts="1">
    <font>
      <sz val="10"/>
      <name val="Arial"/>
    </font>
    <font>
      <sz val="8"/>
      <name val="Arial"/>
      <family val="2"/>
    </font>
    <font>
      <b/>
      <sz val="8"/>
      <name val="Arial"/>
      <family val="2"/>
    </font>
    <font>
      <b/>
      <sz val="12"/>
      <name val="Arial"/>
      <family val="2"/>
    </font>
    <font>
      <u/>
      <sz val="10"/>
      <color indexed="12"/>
      <name val="Arial"/>
      <family val="2"/>
    </font>
    <font>
      <b/>
      <u/>
      <sz val="10"/>
      <name val="Arial"/>
      <family val="2"/>
    </font>
    <font>
      <sz val="10"/>
      <name val="Arial"/>
      <family val="2"/>
    </font>
    <font>
      <sz val="10"/>
      <color indexed="8"/>
      <name val="Arial"/>
      <family val="2"/>
    </font>
    <font>
      <b/>
      <sz val="8"/>
      <name val="Calibri"/>
      <family val="2"/>
    </font>
    <font>
      <sz val="11"/>
      <name val="Calibri"/>
      <family val="2"/>
    </font>
    <font>
      <sz val="9"/>
      <name val="Calibri"/>
      <family val="2"/>
    </font>
    <font>
      <sz val="11"/>
      <color indexed="12"/>
      <name val="Calibri"/>
      <family val="2"/>
    </font>
    <font>
      <sz val="7"/>
      <color indexed="12"/>
      <name val="Times New Roman"/>
      <family val="1"/>
    </font>
    <font>
      <u/>
      <sz val="11"/>
      <name val="Calibri"/>
      <family val="2"/>
    </font>
    <font>
      <sz val="11"/>
      <name val="Calibri"/>
      <family val="2"/>
      <scheme val="minor"/>
    </font>
    <font>
      <b/>
      <sz val="11"/>
      <name val="Calibri"/>
      <family val="2"/>
      <scheme val="minor"/>
    </font>
    <font>
      <b/>
      <sz val="10"/>
      <name val="Calibri"/>
      <family val="2"/>
      <scheme val="minor"/>
    </font>
    <font>
      <sz val="10"/>
      <name val="Calibri"/>
      <family val="2"/>
      <scheme val="minor"/>
    </font>
    <font>
      <u/>
      <sz val="11"/>
      <color indexed="12"/>
      <name val="Calibri"/>
      <family val="2"/>
      <scheme val="minor"/>
    </font>
    <font>
      <b/>
      <sz val="14"/>
      <name val="Calibri"/>
      <family val="2"/>
      <scheme val="minor"/>
    </font>
    <font>
      <b/>
      <sz val="16"/>
      <name val="Calibri"/>
      <family val="2"/>
      <scheme val="minor"/>
    </font>
    <font>
      <sz val="10"/>
      <name val="Arial"/>
      <family val="2"/>
    </font>
    <font>
      <b/>
      <sz val="10"/>
      <name val="Arial"/>
      <family val="2"/>
    </font>
    <font>
      <sz val="10"/>
      <color theme="0"/>
      <name val="Arial"/>
      <family val="2"/>
    </font>
    <font>
      <sz val="9"/>
      <color indexed="81"/>
      <name val="Tahoma"/>
      <family val="2"/>
    </font>
    <font>
      <b/>
      <sz val="9"/>
      <color indexed="81"/>
      <name val="Tahoma"/>
      <family val="2"/>
    </font>
    <font>
      <sz val="10"/>
      <color indexed="48"/>
      <name val="Calibri"/>
      <family val="2"/>
      <scheme val="minor"/>
    </font>
    <font>
      <sz val="9"/>
      <color rgb="FF3333CC"/>
      <name val="Calibri"/>
      <family val="2"/>
      <scheme val="minor"/>
    </font>
    <font>
      <sz val="9"/>
      <color indexed="81"/>
      <name val="Calibri"/>
      <family val="2"/>
      <scheme val="minor"/>
    </font>
  </fonts>
  <fills count="12">
    <fill>
      <patternFill patternType="none"/>
    </fill>
    <fill>
      <patternFill patternType="gray125"/>
    </fill>
    <fill>
      <patternFill patternType="solid">
        <fgColor indexed="42"/>
        <bgColor indexed="64"/>
      </patternFill>
    </fill>
    <fill>
      <patternFill patternType="solid">
        <fgColor indexed="55"/>
        <bgColor indexed="64"/>
      </patternFill>
    </fill>
    <fill>
      <patternFill patternType="solid">
        <fgColor indexed="22"/>
        <bgColor indexed="64"/>
      </patternFill>
    </fill>
    <fill>
      <patternFill patternType="solid">
        <fgColor indexed="41"/>
        <bgColor indexed="64"/>
      </patternFill>
    </fill>
    <fill>
      <patternFill patternType="solid">
        <fgColor indexed="44"/>
        <bgColor indexed="64"/>
      </patternFill>
    </fill>
    <fill>
      <patternFill patternType="solid">
        <fgColor indexed="43"/>
        <bgColor indexed="64"/>
      </patternFill>
    </fill>
    <fill>
      <patternFill patternType="solid">
        <fgColor theme="0"/>
        <bgColor indexed="64"/>
      </patternFill>
    </fill>
    <fill>
      <patternFill patternType="solid">
        <fgColor rgb="FFCCFFFF"/>
        <bgColor indexed="64"/>
      </patternFill>
    </fill>
    <fill>
      <patternFill patternType="solid">
        <fgColor theme="0" tint="-0.249977111117893"/>
        <bgColor indexed="64"/>
      </patternFill>
    </fill>
    <fill>
      <patternFill patternType="solid">
        <fgColor theme="9" tint="0.79998168889431442"/>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style="hair">
        <color indexed="64"/>
      </left>
      <right style="hair">
        <color indexed="64"/>
      </right>
      <top/>
      <bottom style="hair">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hair">
        <color indexed="64"/>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style="thin">
        <color indexed="64"/>
      </left>
      <right/>
      <top/>
      <bottom style="hair">
        <color indexed="64"/>
      </bottom>
      <diagonal/>
    </border>
  </borders>
  <cellStyleXfs count="4">
    <xf numFmtId="0" fontId="0" fillId="0" borderId="0"/>
    <xf numFmtId="0" fontId="4" fillId="0" borderId="0" applyNumberFormat="0" applyFill="0" applyBorder="0" applyAlignment="0" applyProtection="0">
      <alignment vertical="top"/>
      <protection locked="0"/>
    </xf>
    <xf numFmtId="9" fontId="21" fillId="0" borderId="0" applyFont="0" applyFill="0" applyBorder="0" applyAlignment="0" applyProtection="0"/>
    <xf numFmtId="0" fontId="6" fillId="0" borderId="0"/>
  </cellStyleXfs>
  <cellXfs count="166">
    <xf numFmtId="0" fontId="0" fillId="0" borderId="0" xfId="0"/>
    <xf numFmtId="0" fontId="1" fillId="2" borderId="1" xfId="0" applyFont="1" applyFill="1" applyBorder="1"/>
    <xf numFmtId="0" fontId="1" fillId="0" borderId="1" xfId="0" applyFont="1" applyBorder="1" applyAlignment="1">
      <alignment horizontal="right"/>
    </xf>
    <xf numFmtId="0" fontId="2" fillId="2" borderId="1" xfId="0" applyFont="1" applyFill="1" applyBorder="1"/>
    <xf numFmtId="0" fontId="5" fillId="3" borderId="0" xfId="0" applyFont="1" applyFill="1" applyBorder="1" applyAlignment="1">
      <alignment horizontal="left"/>
    </xf>
    <xf numFmtId="0" fontId="0" fillId="3" borderId="0" xfId="0" applyFill="1" applyBorder="1" applyAlignment="1">
      <alignment horizontal="left"/>
    </xf>
    <xf numFmtId="0" fontId="6" fillId="3" borderId="0" xfId="0" applyFont="1" applyFill="1" applyBorder="1" applyAlignment="1">
      <alignment horizontal="left"/>
    </xf>
    <xf numFmtId="0" fontId="0" fillId="3" borderId="0" xfId="0" applyFill="1" applyBorder="1"/>
    <xf numFmtId="0" fontId="14" fillId="0" borderId="0" xfId="0" applyFont="1"/>
    <xf numFmtId="0" fontId="16" fillId="8" borderId="0" xfId="0" applyFont="1" applyFill="1" applyBorder="1" applyAlignment="1" applyProtection="1">
      <alignment horizontal="center" vertical="center" wrapText="1"/>
    </xf>
    <xf numFmtId="0" fontId="17" fillId="0" borderId="0" xfId="0" applyFont="1" applyAlignment="1" applyProtection="1">
      <alignment vertical="center"/>
    </xf>
    <xf numFmtId="164" fontId="17" fillId="0" borderId="2" xfId="0" applyNumberFormat="1" applyFont="1" applyBorder="1" applyAlignment="1" applyProtection="1">
      <alignment vertical="center"/>
      <protection locked="0"/>
    </xf>
    <xf numFmtId="164" fontId="17" fillId="8" borderId="0" xfId="0" applyNumberFormat="1" applyFont="1" applyFill="1" applyBorder="1" applyAlignment="1" applyProtection="1">
      <alignment vertical="center"/>
    </xf>
    <xf numFmtId="164" fontId="17" fillId="2" borderId="4" xfId="0" applyNumberFormat="1" applyFont="1" applyFill="1" applyBorder="1" applyAlignment="1" applyProtection="1">
      <alignment vertical="center"/>
    </xf>
    <xf numFmtId="164" fontId="17" fillId="2" borderId="2" xfId="0" applyNumberFormat="1" applyFont="1" applyFill="1" applyBorder="1" applyAlignment="1" applyProtection="1">
      <alignment vertical="center"/>
    </xf>
    <xf numFmtId="164" fontId="16" fillId="5" borderId="2" xfId="0" applyNumberFormat="1" applyFont="1" applyFill="1" applyBorder="1" applyAlignment="1" applyProtection="1">
      <alignment vertical="center"/>
    </xf>
    <xf numFmtId="164" fontId="16" fillId="5" borderId="3" xfId="0" applyNumberFormat="1" applyFont="1" applyFill="1" applyBorder="1" applyAlignment="1" applyProtection="1">
      <alignment vertical="center"/>
    </xf>
    <xf numFmtId="164" fontId="17" fillId="0" borderId="0" xfId="0" applyNumberFormat="1" applyFont="1" applyAlignment="1" applyProtection="1">
      <alignment vertical="center"/>
    </xf>
    <xf numFmtId="164" fontId="16" fillId="2" borderId="1" xfId="0" applyNumberFormat="1" applyFont="1" applyFill="1" applyBorder="1" applyAlignment="1" applyProtection="1">
      <alignment vertical="center"/>
    </xf>
    <xf numFmtId="0" fontId="17" fillId="8" borderId="0" xfId="0" applyFont="1" applyFill="1" applyBorder="1" applyAlignment="1" applyProtection="1">
      <alignment vertical="center"/>
    </xf>
    <xf numFmtId="164" fontId="16" fillId="5" borderId="1" xfId="0" applyNumberFormat="1" applyFont="1" applyFill="1" applyBorder="1" applyAlignment="1" applyProtection="1">
      <alignment vertical="center"/>
    </xf>
    <xf numFmtId="0" fontId="16" fillId="0" borderId="0" xfId="0" applyFont="1" applyAlignment="1" applyProtection="1">
      <alignment vertical="center"/>
    </xf>
    <xf numFmtId="0" fontId="17" fillId="0" borderId="0" xfId="0" applyFont="1" applyFill="1" applyAlignment="1" applyProtection="1">
      <alignment vertical="center"/>
    </xf>
    <xf numFmtId="0" fontId="0" fillId="8" borderId="0" xfId="0" applyFill="1"/>
    <xf numFmtId="0" fontId="7" fillId="8" borderId="0" xfId="0" applyFont="1" applyFill="1"/>
    <xf numFmtId="0" fontId="15" fillId="4" borderId="5" xfId="0" applyFont="1" applyFill="1" applyBorder="1" applyAlignment="1">
      <alignment horizontal="center" vertical="top"/>
    </xf>
    <xf numFmtId="0" fontId="15" fillId="4" borderId="5" xfId="0" applyFont="1" applyFill="1" applyBorder="1" applyAlignment="1">
      <alignment horizontal="center" vertical="top" wrapText="1"/>
    </xf>
    <xf numFmtId="0" fontId="15" fillId="4" borderId="1" xfId="0" applyFont="1" applyFill="1" applyBorder="1" applyAlignment="1">
      <alignment horizontal="center" vertical="top" wrapText="1"/>
    </xf>
    <xf numFmtId="0" fontId="14" fillId="0" borderId="0" xfId="0" applyFont="1" applyAlignment="1">
      <alignment vertical="top"/>
    </xf>
    <xf numFmtId="0" fontId="14" fillId="0" borderId="4" xfId="0" applyFont="1" applyBorder="1" applyAlignment="1">
      <alignment vertical="top"/>
    </xf>
    <xf numFmtId="0" fontId="14" fillId="0" borderId="2" xfId="0" applyFont="1" applyBorder="1" applyAlignment="1">
      <alignment vertical="top" wrapText="1"/>
    </xf>
    <xf numFmtId="0" fontId="14" fillId="0" borderId="2" xfId="0" applyFont="1" applyBorder="1" applyAlignment="1">
      <alignment vertical="top"/>
    </xf>
    <xf numFmtId="164" fontId="14" fillId="0" borderId="2" xfId="0" applyNumberFormat="1" applyFont="1" applyBorder="1" applyAlignment="1">
      <alignment vertical="top"/>
    </xf>
    <xf numFmtId="9" fontId="14" fillId="0" borderId="2" xfId="0" applyNumberFormat="1" applyFont="1" applyBorder="1" applyAlignment="1">
      <alignment vertical="top"/>
    </xf>
    <xf numFmtId="164" fontId="15" fillId="2" borderId="6" xfId="0" applyNumberFormat="1" applyFont="1" applyFill="1" applyBorder="1" applyAlignment="1">
      <alignment vertical="top"/>
    </xf>
    <xf numFmtId="0" fontId="14" fillId="0" borderId="3" xfId="0" applyFont="1" applyBorder="1" applyAlignment="1">
      <alignment vertical="top"/>
    </xf>
    <xf numFmtId="164" fontId="15" fillId="2" borderId="1" xfId="0" applyNumberFormat="1" applyFont="1" applyFill="1" applyBorder="1" applyAlignment="1">
      <alignment vertical="top"/>
    </xf>
    <xf numFmtId="0" fontId="14" fillId="0" borderId="7" xfId="0" applyFont="1" applyBorder="1" applyAlignment="1">
      <alignment vertical="top"/>
    </xf>
    <xf numFmtId="164" fontId="14" fillId="0" borderId="0" xfId="0" applyNumberFormat="1" applyFont="1" applyAlignment="1">
      <alignment vertical="top"/>
    </xf>
    <xf numFmtId="0" fontId="15" fillId="0" borderId="0" xfId="0" applyFont="1" applyAlignment="1">
      <alignment vertical="top"/>
    </xf>
    <xf numFmtId="0" fontId="15" fillId="4" borderId="1" xfId="0" applyFont="1" applyFill="1" applyBorder="1" applyAlignment="1">
      <alignment vertical="top"/>
    </xf>
    <xf numFmtId="0" fontId="15" fillId="4" borderId="1" xfId="0" applyFont="1" applyFill="1" applyBorder="1" applyAlignment="1">
      <alignment horizontal="right" vertical="top" wrapText="1"/>
    </xf>
    <xf numFmtId="0" fontId="15" fillId="4" borderId="1" xfId="0" applyFont="1" applyFill="1" applyBorder="1" applyAlignment="1">
      <alignment horizontal="right" vertical="top"/>
    </xf>
    <xf numFmtId="0" fontId="14" fillId="2" borderId="1" xfId="0" applyFont="1" applyFill="1" applyBorder="1" applyAlignment="1">
      <alignment vertical="top"/>
    </xf>
    <xf numFmtId="164" fontId="14" fillId="2" borderId="1" xfId="0" applyNumberFormat="1" applyFont="1" applyFill="1" applyBorder="1" applyAlignment="1">
      <alignment vertical="top"/>
    </xf>
    <xf numFmtId="165" fontId="14" fillId="2" borderId="1" xfId="0" applyNumberFormat="1" applyFont="1" applyFill="1" applyBorder="1" applyAlignment="1">
      <alignment vertical="top"/>
    </xf>
    <xf numFmtId="0" fontId="15" fillId="6" borderId="1" xfId="0" applyFont="1" applyFill="1" applyBorder="1" applyAlignment="1">
      <alignment vertical="top"/>
    </xf>
    <xf numFmtId="164" fontId="15" fillId="6" borderId="1" xfId="0" applyNumberFormat="1" applyFont="1" applyFill="1" applyBorder="1" applyAlignment="1">
      <alignment vertical="top"/>
    </xf>
    <xf numFmtId="165" fontId="15" fillId="6" borderId="1" xfId="0" applyNumberFormat="1" applyFont="1" applyFill="1" applyBorder="1" applyAlignment="1">
      <alignment vertical="top"/>
    </xf>
    <xf numFmtId="0" fontId="0" fillId="8" borderId="0" xfId="0" applyFill="1" applyAlignment="1">
      <alignment horizontal="left" wrapText="1" indent="2"/>
    </xf>
    <xf numFmtId="0" fontId="15" fillId="4" borderId="1" xfId="0" applyFont="1" applyFill="1" applyBorder="1" applyAlignment="1">
      <alignment horizontal="center" vertical="top"/>
    </xf>
    <xf numFmtId="0" fontId="14" fillId="0" borderId="1" xfId="0" applyFont="1" applyBorder="1" applyAlignment="1">
      <alignment horizontal="center"/>
    </xf>
    <xf numFmtId="0" fontId="14" fillId="0" borderId="1" xfId="0" applyFont="1" applyBorder="1" applyAlignment="1">
      <alignment wrapText="1"/>
    </xf>
    <xf numFmtId="0" fontId="17" fillId="0" borderId="2" xfId="0" applyFont="1" applyBorder="1" applyAlignment="1" applyProtection="1">
      <alignment horizontal="left" indent="5"/>
      <protection locked="0"/>
    </xf>
    <xf numFmtId="0" fontId="17" fillId="0" borderId="2" xfId="0" applyFont="1" applyBorder="1" applyAlignment="1" applyProtection="1">
      <alignment horizontal="left" indent="6"/>
      <protection locked="0"/>
    </xf>
    <xf numFmtId="0" fontId="0" fillId="8" borderId="0" xfId="0" applyFill="1" applyAlignment="1">
      <alignment horizontal="left" wrapText="1"/>
    </xf>
    <xf numFmtId="0" fontId="1" fillId="2" borderId="1" xfId="0" applyFont="1" applyFill="1" applyBorder="1"/>
    <xf numFmtId="0" fontId="14" fillId="0" borderId="0" xfId="0" applyFont="1" applyBorder="1" applyAlignment="1">
      <alignment horizontal="left" vertical="top" wrapText="1"/>
    </xf>
    <xf numFmtId="0" fontId="19" fillId="0" borderId="0" xfId="0" applyFont="1"/>
    <xf numFmtId="0" fontId="22" fillId="0" borderId="0" xfId="0" applyFont="1"/>
    <xf numFmtId="0" fontId="1" fillId="2" borderId="1" xfId="0" applyFont="1" applyFill="1" applyBorder="1" applyAlignment="1">
      <alignment wrapText="1"/>
    </xf>
    <xf numFmtId="9" fontId="1" fillId="0" borderId="1" xfId="2" applyFont="1" applyFill="1" applyBorder="1" applyAlignment="1">
      <alignment horizontal="right" vertical="center" wrapText="1"/>
    </xf>
    <xf numFmtId="0" fontId="17" fillId="0" borderId="2" xfId="0" applyFont="1" applyBorder="1" applyAlignment="1" applyProtection="1">
      <protection locked="0"/>
    </xf>
    <xf numFmtId="10" fontId="16" fillId="11" borderId="1" xfId="0" applyNumberFormat="1" applyFont="1" applyFill="1" applyBorder="1" applyAlignment="1" applyProtection="1">
      <alignment vertical="center"/>
      <protection locked="0"/>
    </xf>
    <xf numFmtId="164" fontId="16" fillId="11" borderId="1" xfId="0" applyNumberFormat="1" applyFont="1" applyFill="1" applyBorder="1" applyAlignment="1" applyProtection="1">
      <alignment horizontal="left" vertical="center"/>
    </xf>
    <xf numFmtId="0" fontId="17" fillId="0" borderId="4" xfId="0" applyFont="1" applyBorder="1" applyAlignment="1" applyProtection="1">
      <alignment horizontal="center" vertical="center"/>
    </xf>
    <xf numFmtId="0" fontId="23" fillId="8" borderId="0" xfId="0" applyFont="1" applyFill="1" applyAlignment="1">
      <alignment horizontal="center" vertical="center"/>
    </xf>
    <xf numFmtId="0" fontId="17" fillId="0" borderId="2" xfId="0" applyFont="1" applyBorder="1" applyAlignment="1" applyProtection="1">
      <alignment horizontal="left" vertical="center" indent="1"/>
      <protection locked="0"/>
    </xf>
    <xf numFmtId="0" fontId="17" fillId="0" borderId="1" xfId="0" applyFont="1" applyBorder="1" applyAlignment="1" applyProtection="1">
      <alignment vertical="center"/>
    </xf>
    <xf numFmtId="0" fontId="17" fillId="0" borderId="18" xfId="0" applyFont="1" applyBorder="1" applyAlignment="1" applyProtection="1">
      <alignment vertical="center"/>
    </xf>
    <xf numFmtId="164" fontId="17" fillId="2" borderId="3" xfId="0" applyNumberFormat="1" applyFont="1" applyFill="1" applyBorder="1" applyAlignment="1" applyProtection="1">
      <alignment vertical="center"/>
    </xf>
    <xf numFmtId="0" fontId="16" fillId="0" borderId="14" xfId="0" applyFont="1" applyBorder="1" applyAlignment="1" applyProtection="1">
      <alignment vertical="center"/>
    </xf>
    <xf numFmtId="0" fontId="17" fillId="0" borderId="15" xfId="0" applyFont="1" applyBorder="1" applyAlignment="1" applyProtection="1">
      <alignment vertical="center"/>
    </xf>
    <xf numFmtId="0" fontId="17" fillId="0" borderId="16" xfId="0" applyFont="1" applyBorder="1" applyAlignment="1" applyProtection="1">
      <alignment vertical="center"/>
    </xf>
    <xf numFmtId="0" fontId="17" fillId="0" borderId="17" xfId="0" applyFont="1" applyBorder="1" applyAlignment="1" applyProtection="1">
      <alignment vertical="center"/>
    </xf>
    <xf numFmtId="0" fontId="16" fillId="8" borderId="25" xfId="0" applyFont="1" applyFill="1" applyBorder="1" applyAlignment="1" applyProtection="1">
      <alignment vertical="center"/>
    </xf>
    <xf numFmtId="0" fontId="16" fillId="8" borderId="26" xfId="0" applyFont="1" applyFill="1" applyBorder="1" applyAlignment="1" applyProtection="1">
      <alignment vertical="center"/>
    </xf>
    <xf numFmtId="164" fontId="17" fillId="8" borderId="22" xfId="0" applyNumberFormat="1" applyFont="1" applyFill="1" applyBorder="1" applyAlignment="1" applyProtection="1">
      <alignment vertical="center"/>
    </xf>
    <xf numFmtId="164" fontId="17" fillId="8" borderId="23" xfId="0" applyNumberFormat="1" applyFont="1" applyFill="1" applyBorder="1" applyAlignment="1" applyProtection="1">
      <alignment vertical="center"/>
    </xf>
    <xf numFmtId="164" fontId="17" fillId="8" borderId="1" xfId="0" applyNumberFormat="1" applyFont="1" applyFill="1" applyBorder="1" applyAlignment="1" applyProtection="1">
      <alignment vertical="center"/>
    </xf>
    <xf numFmtId="164" fontId="17" fillId="8" borderId="18" xfId="0" applyNumberFormat="1" applyFont="1" applyFill="1" applyBorder="1" applyAlignment="1" applyProtection="1">
      <alignment vertical="center"/>
    </xf>
    <xf numFmtId="164" fontId="17" fillId="8" borderId="19" xfId="0" applyNumberFormat="1" applyFont="1" applyFill="1" applyBorder="1" applyAlignment="1" applyProtection="1">
      <alignment vertical="center"/>
    </xf>
    <xf numFmtId="164" fontId="17" fillId="8" borderId="20" xfId="0" applyNumberFormat="1" applyFont="1" applyFill="1" applyBorder="1" applyAlignment="1" applyProtection="1">
      <alignment vertical="center"/>
    </xf>
    <xf numFmtId="0" fontId="16" fillId="0" borderId="1" xfId="0" applyFont="1" applyBorder="1" applyAlignment="1" applyProtection="1">
      <alignment vertical="center"/>
    </xf>
    <xf numFmtId="10" fontId="16" fillId="0" borderId="1" xfId="0" applyNumberFormat="1" applyFont="1" applyBorder="1" applyAlignment="1" applyProtection="1">
      <alignment vertical="center"/>
    </xf>
    <xf numFmtId="0" fontId="16" fillId="0" borderId="0" xfId="0" applyFont="1" applyFill="1" applyBorder="1" applyAlignment="1" applyProtection="1">
      <alignment horizontal="left" vertical="center" wrapText="1"/>
    </xf>
    <xf numFmtId="0" fontId="26" fillId="0" borderId="0" xfId="0" applyFont="1" applyAlignment="1" applyProtection="1">
      <alignment vertical="center"/>
    </xf>
    <xf numFmtId="10" fontId="17" fillId="0" borderId="1" xfId="0" applyNumberFormat="1" applyFont="1" applyBorder="1" applyAlignment="1" applyProtection="1">
      <alignment vertical="center"/>
    </xf>
    <xf numFmtId="0" fontId="16" fillId="4" borderId="1" xfId="0" applyFont="1" applyFill="1" applyBorder="1" applyAlignment="1" applyProtection="1">
      <alignment vertical="center"/>
    </xf>
    <xf numFmtId="0" fontId="17" fillId="0" borderId="1" xfId="0" applyFont="1" applyBorder="1" applyAlignment="1" applyProtection="1">
      <alignment vertical="center"/>
      <protection locked="0"/>
    </xf>
    <xf numFmtId="0" fontId="17" fillId="8" borderId="1" xfId="0" applyFont="1" applyFill="1" applyBorder="1" applyAlignment="1" applyProtection="1">
      <alignment vertical="center" wrapText="1"/>
    </xf>
    <xf numFmtId="1" fontId="16" fillId="8" borderId="1" xfId="0" applyNumberFormat="1" applyFont="1" applyFill="1" applyBorder="1" applyAlignment="1" applyProtection="1">
      <alignment vertical="center"/>
    </xf>
    <xf numFmtId="0" fontId="17" fillId="8" borderId="0" xfId="0" applyFont="1" applyFill="1" applyAlignment="1" applyProtection="1">
      <alignment vertical="center"/>
    </xf>
    <xf numFmtId="1" fontId="16" fillId="0" borderId="1" xfId="0" applyNumberFormat="1" applyFont="1" applyBorder="1" applyAlignment="1" applyProtection="1">
      <alignment vertical="center"/>
    </xf>
    <xf numFmtId="0" fontId="17" fillId="0" borderId="1" xfId="0" applyFont="1" applyBorder="1" applyAlignment="1">
      <alignment horizontal="right"/>
    </xf>
    <xf numFmtId="0" fontId="17" fillId="8" borderId="1" xfId="0" applyFont="1" applyFill="1" applyBorder="1" applyAlignment="1" applyProtection="1">
      <alignment horizontal="left" vertical="center" wrapText="1"/>
    </xf>
    <xf numFmtId="0" fontId="16" fillId="9" borderId="1" xfId="0" applyFont="1" applyFill="1" applyBorder="1" applyAlignment="1" applyProtection="1">
      <alignment horizontal="left" vertical="center" wrapText="1"/>
    </xf>
    <xf numFmtId="1" fontId="16" fillId="9" borderId="1" xfId="0" applyNumberFormat="1" applyFont="1" applyFill="1" applyBorder="1" applyAlignment="1" applyProtection="1">
      <alignment vertical="center"/>
    </xf>
    <xf numFmtId="165" fontId="0" fillId="8" borderId="0" xfId="2" applyNumberFormat="1" applyFont="1" applyFill="1"/>
    <xf numFmtId="0" fontId="17" fillId="0" borderId="0" xfId="0" applyFont="1" applyBorder="1" applyAlignment="1" applyProtection="1">
      <alignment vertical="center"/>
    </xf>
    <xf numFmtId="0" fontId="17" fillId="4" borderId="1" xfId="0" applyFont="1" applyFill="1" applyBorder="1" applyAlignment="1" applyProtection="1">
      <alignment horizontal="center" vertical="center" textRotation="90" wrapText="1"/>
    </xf>
    <xf numFmtId="0" fontId="1" fillId="0" borderId="2" xfId="3" applyFont="1" applyBorder="1" applyAlignment="1" applyProtection="1">
      <alignment wrapText="1"/>
      <protection locked="0"/>
    </xf>
    <xf numFmtId="0" fontId="1" fillId="0" borderId="2" xfId="3" applyFont="1" applyBorder="1" applyAlignment="1" applyProtection="1">
      <alignment horizontal="left" wrapText="1" indent="3"/>
      <protection locked="0"/>
    </xf>
    <xf numFmtId="0" fontId="14" fillId="0" borderId="1" xfId="0" applyFont="1" applyFill="1" applyBorder="1" applyAlignment="1">
      <alignment horizontal="left" vertical="top"/>
    </xf>
    <xf numFmtId="0" fontId="14" fillId="0" borderId="1" xfId="0" applyFont="1" applyBorder="1"/>
    <xf numFmtId="0" fontId="0" fillId="8" borderId="0" xfId="0" applyFill="1" applyBorder="1" applyAlignment="1"/>
    <xf numFmtId="0" fontId="3" fillId="4" borderId="0" xfId="0" applyFont="1" applyFill="1" applyAlignment="1">
      <alignment horizontal="center" vertical="center"/>
    </xf>
    <xf numFmtId="0" fontId="0" fillId="0" borderId="0" xfId="0"/>
    <xf numFmtId="0" fontId="1" fillId="4" borderId="0" xfId="0" applyFont="1" applyFill="1" applyAlignment="1">
      <alignment horizontal="center" vertical="center"/>
    </xf>
    <xf numFmtId="0" fontId="0" fillId="4" borderId="0" xfId="0" applyFill="1" applyAlignment="1">
      <alignment horizontal="center" vertical="center"/>
    </xf>
    <xf numFmtId="0" fontId="16" fillId="4" borderId="8" xfId="0" applyFont="1" applyFill="1" applyBorder="1" applyAlignment="1" applyProtection="1">
      <alignment horizontal="left" vertical="center"/>
    </xf>
    <xf numFmtId="0" fontId="16" fillId="4" borderId="9" xfId="0" applyFont="1" applyFill="1" applyBorder="1" applyAlignment="1" applyProtection="1">
      <alignment horizontal="left" vertical="center"/>
    </xf>
    <xf numFmtId="0" fontId="16" fillId="4" borderId="1" xfId="0" applyFont="1" applyFill="1" applyBorder="1" applyAlignment="1" applyProtection="1">
      <alignment horizontal="left" vertical="center"/>
    </xf>
    <xf numFmtId="166" fontId="17" fillId="0" borderId="8" xfId="0" applyNumberFormat="1" applyFont="1" applyBorder="1" applyAlignment="1" applyProtection="1">
      <alignment horizontal="left" vertical="center"/>
      <protection locked="0"/>
    </xf>
    <xf numFmtId="166" fontId="17" fillId="0" borderId="10" xfId="0" applyNumberFormat="1" applyFont="1" applyBorder="1" applyAlignment="1" applyProtection="1">
      <alignment horizontal="left" vertical="center"/>
      <protection locked="0"/>
    </xf>
    <xf numFmtId="166" fontId="17" fillId="0" borderId="9" xfId="0" applyNumberFormat="1" applyFont="1" applyBorder="1" applyAlignment="1" applyProtection="1">
      <alignment horizontal="left" vertical="center"/>
      <protection locked="0"/>
    </xf>
    <xf numFmtId="0" fontId="17" fillId="0" borderId="8" xfId="0" applyFont="1" applyBorder="1" applyAlignment="1" applyProtection="1">
      <alignment horizontal="left" vertical="center"/>
      <protection locked="0"/>
    </xf>
    <xf numFmtId="0" fontId="17" fillId="0" borderId="10" xfId="0" applyFont="1" applyBorder="1" applyAlignment="1" applyProtection="1">
      <alignment horizontal="left" vertical="center"/>
      <protection locked="0"/>
    </xf>
    <xf numFmtId="0" fontId="17" fillId="0" borderId="9" xfId="0" applyFont="1" applyBorder="1" applyAlignment="1" applyProtection="1">
      <alignment horizontal="left" vertical="center"/>
      <protection locked="0"/>
    </xf>
    <xf numFmtId="164" fontId="16" fillId="11" borderId="8" xfId="0" applyNumberFormat="1" applyFont="1" applyFill="1" applyBorder="1" applyAlignment="1" applyProtection="1">
      <alignment horizontal="left" vertical="center"/>
    </xf>
    <xf numFmtId="164" fontId="16" fillId="11" borderId="9" xfId="0" applyNumberFormat="1" applyFont="1" applyFill="1" applyBorder="1" applyAlignment="1" applyProtection="1">
      <alignment horizontal="left" vertical="center"/>
    </xf>
    <xf numFmtId="0" fontId="27" fillId="0" borderId="0" xfId="0" applyFont="1" applyBorder="1" applyAlignment="1" applyProtection="1">
      <alignment horizontal="center" vertical="center"/>
    </xf>
    <xf numFmtId="0" fontId="17" fillId="2" borderId="1" xfId="0" applyFont="1" applyFill="1" applyBorder="1"/>
    <xf numFmtId="0" fontId="17" fillId="8" borderId="8" xfId="0" applyFont="1" applyFill="1" applyBorder="1" applyAlignment="1" applyProtection="1">
      <alignment vertical="center" wrapText="1"/>
    </xf>
    <xf numFmtId="0" fontId="17" fillId="8" borderId="10" xfId="0" applyFont="1" applyFill="1" applyBorder="1" applyAlignment="1" applyProtection="1">
      <alignment vertical="center" wrapText="1"/>
    </xf>
    <xf numFmtId="0" fontId="17" fillId="8" borderId="9" xfId="0" applyFont="1" applyFill="1" applyBorder="1" applyAlignment="1" applyProtection="1">
      <alignment vertical="center" wrapText="1"/>
    </xf>
    <xf numFmtId="0" fontId="16" fillId="7" borderId="8" xfId="0" applyFont="1" applyFill="1" applyBorder="1" applyAlignment="1" applyProtection="1">
      <alignment horizontal="left" vertical="center" wrapText="1"/>
    </xf>
    <xf numFmtId="0" fontId="16" fillId="7" borderId="10" xfId="0" applyFont="1" applyFill="1" applyBorder="1" applyAlignment="1" applyProtection="1">
      <alignment horizontal="left" vertical="center" wrapText="1"/>
    </xf>
    <xf numFmtId="0" fontId="16" fillId="7" borderId="9" xfId="0" applyFont="1" applyFill="1" applyBorder="1" applyAlignment="1" applyProtection="1">
      <alignment horizontal="left" vertical="center" wrapText="1"/>
    </xf>
    <xf numFmtId="0" fontId="16" fillId="4" borderId="1" xfId="0" applyFont="1" applyFill="1" applyBorder="1" applyAlignment="1" applyProtection="1">
      <alignment horizontal="center" vertical="center" wrapText="1"/>
    </xf>
    <xf numFmtId="0" fontId="17" fillId="4" borderId="5" xfId="0" applyFont="1" applyFill="1" applyBorder="1" applyAlignment="1" applyProtection="1">
      <alignment horizontal="center" vertical="center" textRotation="90" wrapText="1"/>
    </xf>
    <xf numFmtId="0" fontId="17" fillId="4" borderId="22" xfId="0" applyFont="1" applyFill="1" applyBorder="1" applyAlignment="1" applyProtection="1">
      <alignment horizontal="center" vertical="center" textRotation="90" wrapText="1"/>
    </xf>
    <xf numFmtId="0" fontId="16" fillId="4" borderId="8" xfId="0" applyFont="1" applyFill="1" applyBorder="1" applyAlignment="1" applyProtection="1">
      <alignment horizontal="center" vertical="center" wrapText="1"/>
    </xf>
    <xf numFmtId="0" fontId="16" fillId="4" borderId="10" xfId="0" applyFont="1" applyFill="1" applyBorder="1" applyAlignment="1" applyProtection="1">
      <alignment horizontal="center" vertical="center" wrapText="1"/>
    </xf>
    <xf numFmtId="0" fontId="16" fillId="4" borderId="9" xfId="0" applyFont="1" applyFill="1" applyBorder="1" applyAlignment="1" applyProtection="1">
      <alignment horizontal="center" vertical="center" wrapText="1"/>
    </xf>
    <xf numFmtId="0" fontId="16" fillId="2" borderId="8" xfId="0" applyFont="1" applyFill="1" applyBorder="1" applyAlignment="1" applyProtection="1">
      <alignment horizontal="center" vertical="center"/>
    </xf>
    <xf numFmtId="0" fontId="16" fillId="2" borderId="10" xfId="0" applyFont="1" applyFill="1" applyBorder="1" applyAlignment="1" applyProtection="1">
      <alignment horizontal="center" vertical="center"/>
    </xf>
    <xf numFmtId="0" fontId="16" fillId="2" borderId="9" xfId="0" applyFont="1" applyFill="1" applyBorder="1" applyAlignment="1" applyProtection="1">
      <alignment horizontal="center" vertical="center"/>
    </xf>
    <xf numFmtId="0" fontId="16" fillId="4" borderId="5" xfId="0" applyFont="1" applyFill="1" applyBorder="1" applyAlignment="1" applyProtection="1">
      <alignment horizontal="center" vertical="center" wrapText="1"/>
    </xf>
    <xf numFmtId="0" fontId="16" fillId="4" borderId="12" xfId="0" applyFont="1" applyFill="1" applyBorder="1" applyAlignment="1" applyProtection="1">
      <alignment horizontal="center" vertical="center" wrapText="1"/>
    </xf>
    <xf numFmtId="0" fontId="17" fillId="4" borderId="5" xfId="0" applyFont="1" applyFill="1" applyBorder="1" applyAlignment="1" applyProtection="1">
      <alignment horizontal="center" vertical="center" wrapText="1"/>
    </xf>
    <xf numFmtId="0" fontId="17" fillId="4" borderId="11" xfId="0" applyFont="1" applyFill="1" applyBorder="1" applyAlignment="1" applyProtection="1">
      <alignment horizontal="center" vertical="center" wrapText="1"/>
    </xf>
    <xf numFmtId="0" fontId="16" fillId="4" borderId="29" xfId="0" applyFont="1" applyFill="1" applyBorder="1" applyAlignment="1" applyProtection="1">
      <alignment horizontal="center" vertical="center" wrapText="1"/>
    </xf>
    <xf numFmtId="0" fontId="16" fillId="4" borderId="30" xfId="0" applyFont="1" applyFill="1" applyBorder="1" applyAlignment="1" applyProtection="1">
      <alignment horizontal="center" vertical="center" wrapText="1"/>
    </xf>
    <xf numFmtId="0" fontId="16" fillId="4" borderId="5" xfId="0" applyFont="1" applyFill="1" applyBorder="1" applyAlignment="1" applyProtection="1">
      <alignment horizontal="center" vertical="center"/>
    </xf>
    <xf numFmtId="0" fontId="16" fillId="4" borderId="11" xfId="0" applyFont="1" applyFill="1" applyBorder="1" applyAlignment="1" applyProtection="1">
      <alignment horizontal="center" vertical="center"/>
    </xf>
    <xf numFmtId="0" fontId="16" fillId="4" borderId="22" xfId="0" applyFont="1" applyFill="1" applyBorder="1" applyAlignment="1" applyProtection="1">
      <alignment horizontal="center" vertical="center"/>
    </xf>
    <xf numFmtId="0" fontId="16" fillId="2" borderId="8" xfId="0" applyFont="1" applyFill="1" applyBorder="1" applyAlignment="1" applyProtection="1">
      <alignment horizontal="right" vertical="center"/>
    </xf>
    <xf numFmtId="0" fontId="16" fillId="2" borderId="10" xfId="0" applyFont="1" applyFill="1" applyBorder="1" applyAlignment="1" applyProtection="1">
      <alignment horizontal="right" vertical="center"/>
    </xf>
    <xf numFmtId="0" fontId="16" fillId="2" borderId="9" xfId="0" applyFont="1" applyFill="1" applyBorder="1" applyAlignment="1" applyProtection="1">
      <alignment horizontal="right" vertical="center"/>
    </xf>
    <xf numFmtId="0" fontId="17" fillId="8" borderId="27" xfId="0" applyFont="1" applyFill="1" applyBorder="1"/>
    <xf numFmtId="0" fontId="17" fillId="8" borderId="28" xfId="0" applyFont="1" applyFill="1" applyBorder="1"/>
    <xf numFmtId="0" fontId="17" fillId="8" borderId="17" xfId="0" applyFont="1" applyFill="1" applyBorder="1"/>
    <xf numFmtId="0" fontId="17" fillId="8" borderId="1" xfId="0" applyFont="1" applyFill="1" applyBorder="1"/>
    <xf numFmtId="0" fontId="17" fillId="8" borderId="21" xfId="0" applyFont="1" applyFill="1" applyBorder="1"/>
    <xf numFmtId="0" fontId="17" fillId="8" borderId="22" xfId="0" applyFont="1" applyFill="1" applyBorder="1"/>
    <xf numFmtId="0" fontId="16" fillId="8" borderId="24" xfId="0" applyFont="1" applyFill="1" applyBorder="1"/>
    <xf numFmtId="0" fontId="16" fillId="8" borderId="25" xfId="0" applyFont="1" applyFill="1" applyBorder="1"/>
    <xf numFmtId="0" fontId="15" fillId="2" borderId="1" xfId="0" applyFont="1" applyFill="1" applyBorder="1" applyAlignment="1">
      <alignment horizontal="right" vertical="top"/>
    </xf>
    <xf numFmtId="0" fontId="15" fillId="0" borderId="13" xfId="0" applyFont="1" applyBorder="1" applyAlignment="1">
      <alignment vertical="top" wrapText="1"/>
    </xf>
    <xf numFmtId="0" fontId="18" fillId="0" borderId="13" xfId="1" applyFont="1" applyBorder="1" applyAlignment="1" applyProtection="1">
      <alignment vertical="top"/>
    </xf>
    <xf numFmtId="0" fontId="20" fillId="10" borderId="8" xfId="0" applyFont="1" applyFill="1" applyBorder="1" applyAlignment="1">
      <alignment horizontal="left" vertical="top"/>
    </xf>
    <xf numFmtId="0" fontId="20" fillId="10" borderId="9" xfId="0" applyFont="1" applyFill="1" applyBorder="1" applyAlignment="1">
      <alignment horizontal="left" vertical="top"/>
    </xf>
    <xf numFmtId="0" fontId="15" fillId="0" borderId="0" xfId="0" applyFont="1" applyAlignment="1">
      <alignment horizontal="left" vertical="top" wrapText="1"/>
    </xf>
    <xf numFmtId="0" fontId="15" fillId="0" borderId="0" xfId="0" applyFont="1" applyAlignment="1">
      <alignment horizontal="left" vertical="top"/>
    </xf>
    <xf numFmtId="0" fontId="14" fillId="0" borderId="0" xfId="0" applyFont="1" applyBorder="1" applyAlignment="1">
      <alignment horizontal="left" vertical="top" wrapText="1"/>
    </xf>
  </cellXfs>
  <cellStyles count="4">
    <cellStyle name="Hyperlink" xfId="1" builtinId="8"/>
    <cellStyle name="Normal" xfId="0" builtinId="0"/>
    <cellStyle name="Normal 2" xfId="3"/>
    <cellStyle name="Percent" xfId="2" builtinId="5"/>
  </cellStyles>
  <dxfs count="110">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ill>
        <patternFill>
          <bgColor indexed="10"/>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ill>
        <patternFill>
          <bgColor indexed="10"/>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ill>
        <patternFill>
          <bgColor indexed="10"/>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ill>
        <patternFill>
          <bgColor indexed="10"/>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ill>
        <patternFill>
          <bgColor indexed="10"/>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ill>
        <patternFill>
          <bgColor indexed="10"/>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ill>
        <patternFill>
          <bgColor indexed="10"/>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ill>
        <patternFill>
          <bgColor indexed="10"/>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ill>
        <patternFill>
          <bgColor indexed="10"/>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ill>
        <patternFill>
          <bgColor indexed="10"/>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ill>
        <patternFill>
          <bgColor indexed="10"/>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ill>
        <patternFill>
          <bgColor indexed="10"/>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ill>
        <patternFill>
          <bgColor indexed="10"/>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ill>
        <patternFill>
          <bgColor indexed="10"/>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ill>
        <patternFill>
          <bgColor indexed="10"/>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ill>
        <patternFill>
          <bgColor indexed="10"/>
        </patternFill>
      </fill>
    </dxf>
    <dxf>
      <font>
        <b/>
        <i val="0"/>
        <color rgb="FFFF0000"/>
      </font>
      <fill>
        <patternFill patternType="none">
          <bgColor indexed="65"/>
        </patternFill>
      </fill>
    </dxf>
    <dxf>
      <font>
        <b/>
        <i val="0"/>
        <color rgb="FFFF0000"/>
      </font>
      <fill>
        <patternFill patternType="none">
          <bgColor indexed="65"/>
        </patternFill>
      </fill>
    </dxf>
    <dxf>
      <fill>
        <patternFill>
          <bgColor indexed="10"/>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ill>
        <patternFill>
          <bgColor indexed="10"/>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ill>
        <patternFill>
          <bgColor indexed="10"/>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ill>
        <patternFill>
          <bgColor indexed="10"/>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ill>
        <patternFill>
          <bgColor indexed="10"/>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ill>
        <patternFill>
          <bgColor indexed="10"/>
        </patternFill>
      </fill>
    </dxf>
  </dxfs>
  <tableStyles count="0" defaultTableStyle="TableStyleMedium9" defaultPivotStyle="PivotStyleLight16"/>
  <colors>
    <mruColors>
      <color rgb="FF3333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u="none"/>
            </a:pPr>
            <a:r>
              <a:rPr lang="en-US" sz="1200" u="none"/>
              <a:t>Effort Distribution</a:t>
            </a:r>
          </a:p>
        </c:rich>
      </c:tx>
      <c:layout>
        <c:manualLayout>
          <c:xMode val="edge"/>
          <c:yMode val="edge"/>
          <c:x val="4.0563832447738766E-4"/>
          <c:y val="7.5547075020530405E-3"/>
        </c:manualLayout>
      </c:layout>
      <c:overlay val="0"/>
    </c:title>
    <c:autoTitleDeleted val="0"/>
    <c:view3D>
      <c:rotX val="30"/>
      <c:rotY val="190"/>
      <c:rAngAx val="0"/>
      <c:perspective val="30"/>
    </c:view3D>
    <c:floor>
      <c:thickness val="0"/>
    </c:floor>
    <c:sideWall>
      <c:thickness val="0"/>
    </c:sideWall>
    <c:backWall>
      <c:thickness val="0"/>
    </c:backWall>
    <c:plotArea>
      <c:layout>
        <c:manualLayout>
          <c:layoutTarget val="inner"/>
          <c:xMode val="edge"/>
          <c:yMode val="edge"/>
          <c:x val="0.12844940288929282"/>
          <c:y val="0.15199555577025264"/>
          <c:w val="0.7976435411789744"/>
          <c:h val="0.73881261774793472"/>
        </c:manualLayout>
      </c:layout>
      <c:pie3DChart>
        <c:varyColors val="1"/>
        <c:ser>
          <c:idx val="0"/>
          <c:order val="0"/>
          <c:tx>
            <c:strRef>
              <c:f>'Detailed Task Estimates'!$BA$8</c:f>
              <c:strCache>
                <c:ptCount val="1"/>
                <c:pt idx="0">
                  <c:v>Project Management</c:v>
                </c:pt>
              </c:strCache>
            </c:strRef>
          </c:tx>
          <c:spPr>
            <a:effectLst>
              <a:innerShdw blurRad="114300">
                <a:prstClr val="black"/>
              </a:innerShdw>
            </a:effectLst>
            <a:scene3d>
              <a:camera prst="orthographicFront"/>
              <a:lightRig rig="threePt" dir="t"/>
            </a:scene3d>
            <a:sp3d/>
          </c:spPr>
          <c:explosion val="12"/>
          <c:dLbls>
            <c:numFmt formatCode="0.0%" sourceLinked="0"/>
            <c:txPr>
              <a:bodyPr/>
              <a:lstStyle/>
              <a:p>
                <a:pPr>
                  <a:defRPr sz="800"/>
                </a:pPr>
                <a:endParaRPr lang="en-US"/>
              </a:p>
            </c:txPr>
            <c:dLblPos val="outEnd"/>
            <c:showLegendKey val="0"/>
            <c:showVal val="1"/>
            <c:showCatName val="1"/>
            <c:showSerName val="0"/>
            <c:showPercent val="0"/>
            <c:showBubbleSize val="0"/>
            <c:showLeaderLines val="1"/>
          </c:dLbls>
          <c:cat>
            <c:multiLvlStrRef>
              <c:f>'Detailed Task Estimates'!$BB$3:$BB$7</c:f>
            </c:multiLvlStrRef>
          </c:cat>
          <c:val>
            <c:numRef>
              <c:f>'Detailed Task Estimates'!$BB$8</c:f>
              <c:numCache>
                <c:formatCode>0.00%</c:formatCode>
                <c:ptCount val="1"/>
                <c:pt idx="0">
                  <c:v>0</c:v>
                </c:pt>
              </c:numCache>
            </c:numRef>
          </c:val>
        </c:ser>
        <c:dLbls>
          <c:showLegendKey val="0"/>
          <c:showVal val="0"/>
          <c:showCatName val="0"/>
          <c:showSerName val="0"/>
          <c:showPercent val="0"/>
          <c:showBubbleSize val="0"/>
          <c:showLeaderLines val="1"/>
        </c:dLbls>
      </c:pie3DChart>
    </c:plotArea>
    <c:plotVisOnly val="0"/>
    <c:dispBlanksAs val="gap"/>
    <c:showDLblsOverMax val="0"/>
  </c:chart>
  <c:printSettings>
    <c:headerFooter/>
    <c:pageMargins b="0.75000000000000133" l="0.70000000000000062" r="0.70000000000000062" t="0.75000000000000133"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cid:image001.jpg@01CAB9FD.59C1AD90" TargetMode="External"/><Relationship Id="rId1" Type="http://schemas.openxmlformats.org/officeDocument/2006/relationships/image" Target="../media/image5.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5955</xdr:colOff>
      <xdr:row>0</xdr:row>
      <xdr:rowOff>88076</xdr:rowOff>
    </xdr:from>
    <xdr:to>
      <xdr:col>1</xdr:col>
      <xdr:colOff>303610</xdr:colOff>
      <xdr:row>2</xdr:row>
      <xdr:rowOff>58462</xdr:rowOff>
    </xdr:to>
    <xdr:pic>
      <xdr:nvPicPr>
        <xdr:cNvPr id="5" name="Picture 4"/>
        <xdr:cNvPicPr/>
      </xdr:nvPicPr>
      <xdr:blipFill>
        <a:blip xmlns:r="http://schemas.openxmlformats.org/officeDocument/2006/relationships" r:embed="rId1" cstate="print"/>
        <a:srcRect/>
        <a:stretch>
          <a:fillRect/>
        </a:stretch>
      </xdr:blipFill>
      <xdr:spPr bwMode="auto">
        <a:xfrm>
          <a:off x="5955" y="88076"/>
          <a:ext cx="904874" cy="333527"/>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19</xdr:col>
      <xdr:colOff>13607</xdr:colOff>
      <xdr:row>3</xdr:row>
      <xdr:rowOff>13608</xdr:rowOff>
    </xdr:from>
    <xdr:to>
      <xdr:col>24</xdr:col>
      <xdr:colOff>591911</xdr:colOff>
      <xdr:row>12</xdr:row>
      <xdr:rowOff>590551</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1</xdr:row>
          <xdr:rowOff>19050</xdr:rowOff>
        </xdr:from>
        <xdr:to>
          <xdr:col>1</xdr:col>
          <xdr:colOff>466725</xdr:colOff>
          <xdr:row>2</xdr:row>
          <xdr:rowOff>142875</xdr:rowOff>
        </xdr:to>
        <xdr:sp macro="" textlink="">
          <xdr:nvSpPr>
            <xdr:cNvPr id="1059" name="InsertRow" hidden="1">
              <a:extLst>
                <a:ext uri="{63B3BB69-23CF-44E3-9099-C40C66FF867C}">
                  <a14:compatExt spid="_x0000_s10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542925</xdr:colOff>
          <xdr:row>1</xdr:row>
          <xdr:rowOff>9525</xdr:rowOff>
        </xdr:from>
        <xdr:to>
          <xdr:col>1</xdr:col>
          <xdr:colOff>1457325</xdr:colOff>
          <xdr:row>2</xdr:row>
          <xdr:rowOff>133350</xdr:rowOff>
        </xdr:to>
        <xdr:sp macro="" textlink="">
          <xdr:nvSpPr>
            <xdr:cNvPr id="1060" name="DeleteRow" hidden="1">
              <a:extLst>
                <a:ext uri="{63B3BB69-23CF-44E3-9099-C40C66FF867C}">
                  <a14:compatExt spid="_x0000_s10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1533525</xdr:colOff>
          <xdr:row>1</xdr:row>
          <xdr:rowOff>9525</xdr:rowOff>
        </xdr:from>
        <xdr:to>
          <xdr:col>1</xdr:col>
          <xdr:colOff>3219450</xdr:colOff>
          <xdr:row>2</xdr:row>
          <xdr:rowOff>133350</xdr:rowOff>
        </xdr:to>
        <xdr:sp macro="" textlink="">
          <xdr:nvSpPr>
            <xdr:cNvPr id="1066" name="AnalyzeData" hidden="1">
              <a:extLst>
                <a:ext uri="{63B3BB69-23CF-44E3-9099-C40C66FF867C}">
                  <a14:compatExt spid="_x0000_s1066"/>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14</xdr:row>
      <xdr:rowOff>9525</xdr:rowOff>
    </xdr:from>
    <xdr:to>
      <xdr:col>1</xdr:col>
      <xdr:colOff>4248150</xdr:colOff>
      <xdr:row>31</xdr:row>
      <xdr:rowOff>9525</xdr:rowOff>
    </xdr:to>
    <xdr:pic>
      <xdr:nvPicPr>
        <xdr:cNvPr id="35852" name="Picture_x005f_x0020_13" descr="cid:image001.jpg@01C8066E.C1021ED0"/>
        <xdr:cNvPicPr>
          <a:picLocks noChangeAspect="1" noChangeArrowheads="1"/>
        </xdr:cNvPicPr>
      </xdr:nvPicPr>
      <xdr:blipFill>
        <a:blip xmlns:r="http://schemas.openxmlformats.org/officeDocument/2006/relationships" r:embed="rId1" r:link="rId2" cstate="print"/>
        <a:srcRect/>
        <a:stretch>
          <a:fillRect/>
        </a:stretch>
      </xdr:blipFill>
      <xdr:spPr bwMode="auto">
        <a:xfrm>
          <a:off x="609600" y="4819650"/>
          <a:ext cx="4248150" cy="2752725"/>
        </a:xfrm>
        <a:prstGeom prst="rect">
          <a:avLst/>
        </a:prstGeom>
        <a:noFill/>
        <a:ln w="9525">
          <a:solidFill>
            <a:srgbClr val="000000"/>
          </a:solidFill>
          <a:miter lim="800000"/>
          <a:headEnd/>
          <a:tailEnd/>
        </a:ln>
      </xdr:spPr>
    </xdr:pic>
    <xdr:clientData/>
  </xdr:twoCellAnchor>
  <xdr:twoCellAnchor editAs="oneCell">
    <xdr:from>
      <xdr:col>0</xdr:col>
      <xdr:colOff>0</xdr:colOff>
      <xdr:row>0</xdr:row>
      <xdr:rowOff>0</xdr:rowOff>
    </xdr:from>
    <xdr:to>
      <xdr:col>1</xdr:col>
      <xdr:colOff>885825</xdr:colOff>
      <xdr:row>1</xdr:row>
      <xdr:rowOff>32269</xdr:rowOff>
    </xdr:to>
    <xdr:pic>
      <xdr:nvPicPr>
        <xdr:cNvPr id="4" name="Picture 3"/>
        <xdr:cNvPicPr/>
      </xdr:nvPicPr>
      <xdr:blipFill>
        <a:blip xmlns:r="http://schemas.openxmlformats.org/officeDocument/2006/relationships" r:embed="rId3" cstate="print"/>
        <a:srcRect/>
        <a:stretch>
          <a:fillRect/>
        </a:stretch>
      </xdr:blipFill>
      <xdr:spPr bwMode="auto">
        <a:xfrm>
          <a:off x="0" y="0"/>
          <a:ext cx="1095375" cy="403744"/>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IP%206.0-Keystone/Phase%201%20Cleanup/Repository%20for%20Process%20Components%20at%20Virtusa/guidances/templates/resources/ProjectEstimate%203P(WithMacro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stimation Summary"/>
      <sheetName val="Detailed Task Estimates"/>
      <sheetName val="Detailed Risk Impact Estimates"/>
      <sheetName val="Assumptions"/>
      <sheetName val="Estimation Metrics"/>
      <sheetName val="Confidentiality Note"/>
      <sheetName val="Data"/>
    </sheetNames>
    <sheetDataSet>
      <sheetData sheetId="0" refreshError="1"/>
      <sheetData sheetId="1">
        <row r="5">
          <cell r="I5">
            <v>0</v>
          </cell>
        </row>
        <row r="6">
          <cell r="I6">
            <v>0</v>
          </cell>
        </row>
        <row r="7">
          <cell r="I7">
            <v>0</v>
          </cell>
        </row>
        <row r="8">
          <cell r="I8">
            <v>0</v>
          </cell>
        </row>
        <row r="9">
          <cell r="I9">
            <v>0</v>
          </cell>
        </row>
        <row r="10">
          <cell r="I10">
            <v>0</v>
          </cell>
        </row>
        <row r="11">
          <cell r="I11">
            <v>0</v>
          </cell>
        </row>
        <row r="12">
          <cell r="I12">
            <v>0</v>
          </cell>
        </row>
        <row r="13">
          <cell r="I13">
            <v>0</v>
          </cell>
        </row>
        <row r="14">
          <cell r="I14">
            <v>0</v>
          </cell>
        </row>
        <row r="15">
          <cell r="I15">
            <v>0</v>
          </cell>
        </row>
        <row r="16">
          <cell r="I16">
            <v>0</v>
          </cell>
        </row>
        <row r="17">
          <cell r="I17">
            <v>0</v>
          </cell>
        </row>
        <row r="18">
          <cell r="I18">
            <v>0</v>
          </cell>
        </row>
        <row r="19">
          <cell r="I19">
            <v>0</v>
          </cell>
        </row>
        <row r="20">
          <cell r="I20">
            <v>0</v>
          </cell>
        </row>
        <row r="21">
          <cell r="I21">
            <v>0</v>
          </cell>
        </row>
        <row r="22">
          <cell r="I22">
            <v>0</v>
          </cell>
        </row>
        <row r="23">
          <cell r="I23">
            <v>0</v>
          </cell>
        </row>
        <row r="24">
          <cell r="I24">
            <v>0</v>
          </cell>
        </row>
        <row r="25">
          <cell r="I25">
            <v>0</v>
          </cell>
        </row>
        <row r="26">
          <cell r="I26">
            <v>0</v>
          </cell>
        </row>
        <row r="27">
          <cell r="I27">
            <v>0</v>
          </cell>
        </row>
        <row r="28">
          <cell r="I28">
            <v>0</v>
          </cell>
        </row>
        <row r="29">
          <cell r="I29">
            <v>0</v>
          </cell>
        </row>
        <row r="30">
          <cell r="I30">
            <v>0</v>
          </cell>
        </row>
        <row r="31">
          <cell r="I31">
            <v>0</v>
          </cell>
        </row>
        <row r="32">
          <cell r="I32">
            <v>0</v>
          </cell>
        </row>
        <row r="33">
          <cell r="I33">
            <v>0</v>
          </cell>
        </row>
        <row r="34">
          <cell r="I34">
            <v>0</v>
          </cell>
        </row>
        <row r="35">
          <cell r="I35">
            <v>0</v>
          </cell>
        </row>
        <row r="36">
          <cell r="I36">
            <v>0</v>
          </cell>
        </row>
        <row r="37">
          <cell r="I37">
            <v>0</v>
          </cell>
        </row>
        <row r="38">
          <cell r="I38">
            <v>0</v>
          </cell>
        </row>
        <row r="39">
          <cell r="I39">
            <v>0</v>
          </cell>
        </row>
        <row r="40">
          <cell r="I40">
            <v>0</v>
          </cell>
        </row>
        <row r="41">
          <cell r="I41">
            <v>0</v>
          </cell>
        </row>
        <row r="42">
          <cell r="I42">
            <v>0</v>
          </cell>
        </row>
        <row r="43">
          <cell r="I43">
            <v>0</v>
          </cell>
        </row>
        <row r="44">
          <cell r="I44">
            <v>0</v>
          </cell>
        </row>
        <row r="45">
          <cell r="I45">
            <v>0</v>
          </cell>
        </row>
        <row r="46">
          <cell r="I46">
            <v>0</v>
          </cell>
        </row>
        <row r="47">
          <cell r="I47">
            <v>0</v>
          </cell>
        </row>
        <row r="48">
          <cell r="I48">
            <v>0</v>
          </cell>
        </row>
        <row r="49">
          <cell r="I49">
            <v>0</v>
          </cell>
        </row>
        <row r="50">
          <cell r="I50">
            <v>0</v>
          </cell>
        </row>
        <row r="51">
          <cell r="I51">
            <v>0</v>
          </cell>
        </row>
        <row r="52">
          <cell r="I52">
            <v>0</v>
          </cell>
        </row>
        <row r="53">
          <cell r="I53">
            <v>0</v>
          </cell>
        </row>
        <row r="54">
          <cell r="I54">
            <v>0</v>
          </cell>
        </row>
        <row r="55">
          <cell r="I55">
            <v>0</v>
          </cell>
        </row>
        <row r="56">
          <cell r="I56">
            <v>0</v>
          </cell>
        </row>
        <row r="57">
          <cell r="I57">
            <v>0</v>
          </cell>
        </row>
        <row r="58">
          <cell r="I58">
            <v>0</v>
          </cell>
        </row>
        <row r="59">
          <cell r="I59">
            <v>0</v>
          </cell>
        </row>
        <row r="60">
          <cell r="I60">
            <v>0</v>
          </cell>
        </row>
        <row r="61">
          <cell r="I61">
            <v>0</v>
          </cell>
        </row>
        <row r="62">
          <cell r="I62">
            <v>0</v>
          </cell>
        </row>
        <row r="63">
          <cell r="I63">
            <v>0</v>
          </cell>
        </row>
        <row r="64">
          <cell r="I64">
            <v>0</v>
          </cell>
        </row>
        <row r="65">
          <cell r="I65">
            <v>0</v>
          </cell>
        </row>
        <row r="66">
          <cell r="I66">
            <v>0</v>
          </cell>
        </row>
        <row r="67">
          <cell r="I67">
            <v>0</v>
          </cell>
        </row>
        <row r="68">
          <cell r="I68">
            <v>0</v>
          </cell>
        </row>
        <row r="69">
          <cell r="I69">
            <v>0</v>
          </cell>
        </row>
        <row r="70">
          <cell r="I70">
            <v>0</v>
          </cell>
        </row>
        <row r="71">
          <cell r="I71">
            <v>0</v>
          </cell>
        </row>
        <row r="72">
          <cell r="I72">
            <v>0</v>
          </cell>
        </row>
        <row r="73">
          <cell r="I73">
            <v>0</v>
          </cell>
        </row>
        <row r="74">
          <cell r="I74">
            <v>0</v>
          </cell>
        </row>
        <row r="75">
          <cell r="I75">
            <v>0</v>
          </cell>
        </row>
        <row r="76">
          <cell r="I76">
            <v>0</v>
          </cell>
        </row>
        <row r="77">
          <cell r="I77">
            <v>0</v>
          </cell>
        </row>
        <row r="78">
          <cell r="I78">
            <v>0</v>
          </cell>
        </row>
        <row r="79">
          <cell r="I79">
            <v>0</v>
          </cell>
        </row>
        <row r="80">
          <cell r="I80">
            <v>0</v>
          </cell>
        </row>
        <row r="81">
          <cell r="I81">
            <v>0</v>
          </cell>
        </row>
        <row r="82">
          <cell r="I82">
            <v>0</v>
          </cell>
        </row>
        <row r="83">
          <cell r="I83">
            <v>0</v>
          </cell>
        </row>
        <row r="84">
          <cell r="I84">
            <v>0</v>
          </cell>
        </row>
        <row r="85">
          <cell r="I85">
            <v>0</v>
          </cell>
        </row>
        <row r="86">
          <cell r="I86">
            <v>0</v>
          </cell>
        </row>
        <row r="87">
          <cell r="I87">
            <v>0</v>
          </cell>
        </row>
        <row r="88">
          <cell r="I88">
            <v>0</v>
          </cell>
        </row>
        <row r="89">
          <cell r="I89">
            <v>0</v>
          </cell>
        </row>
        <row r="90">
          <cell r="I90">
            <v>0</v>
          </cell>
        </row>
        <row r="91">
          <cell r="I91">
            <v>0</v>
          </cell>
        </row>
        <row r="92">
          <cell r="I92">
            <v>0</v>
          </cell>
        </row>
        <row r="93">
          <cell r="I93">
            <v>0</v>
          </cell>
        </row>
        <row r="94">
          <cell r="I94">
            <v>0</v>
          </cell>
        </row>
        <row r="95">
          <cell r="I95">
            <v>0</v>
          </cell>
        </row>
        <row r="96">
          <cell r="I96">
            <v>0</v>
          </cell>
        </row>
        <row r="97">
          <cell r="I97">
            <v>0</v>
          </cell>
        </row>
        <row r="98">
          <cell r="I98">
            <v>0</v>
          </cell>
        </row>
        <row r="99">
          <cell r="I99">
            <v>0</v>
          </cell>
        </row>
        <row r="100">
          <cell r="I100">
            <v>0</v>
          </cell>
        </row>
        <row r="101">
          <cell r="I101">
            <v>0</v>
          </cell>
        </row>
        <row r="102">
          <cell r="I102">
            <v>0</v>
          </cell>
        </row>
        <row r="103">
          <cell r="I103">
            <v>0</v>
          </cell>
        </row>
        <row r="104">
          <cell r="I104">
            <v>0</v>
          </cell>
        </row>
        <row r="105">
          <cell r="I105">
            <v>0</v>
          </cell>
        </row>
        <row r="106">
          <cell r="I106">
            <v>0</v>
          </cell>
        </row>
        <row r="107">
          <cell r="I107">
            <v>0</v>
          </cell>
        </row>
        <row r="108">
          <cell r="I108">
            <v>0</v>
          </cell>
        </row>
        <row r="109">
          <cell r="I109">
            <v>0</v>
          </cell>
        </row>
        <row r="110">
          <cell r="I110">
            <v>0</v>
          </cell>
        </row>
        <row r="111">
          <cell r="I111">
            <v>0</v>
          </cell>
        </row>
        <row r="112">
          <cell r="I112">
            <v>0</v>
          </cell>
        </row>
        <row r="113">
          <cell r="I113">
            <v>0</v>
          </cell>
        </row>
        <row r="114">
          <cell r="I114">
            <v>0</v>
          </cell>
        </row>
        <row r="115">
          <cell r="I115">
            <v>0</v>
          </cell>
        </row>
        <row r="116">
          <cell r="I116">
            <v>0</v>
          </cell>
        </row>
        <row r="117">
          <cell r="I117">
            <v>0</v>
          </cell>
        </row>
        <row r="118">
          <cell r="I118">
            <v>0</v>
          </cell>
        </row>
        <row r="119">
          <cell r="I119">
            <v>0</v>
          </cell>
        </row>
        <row r="120">
          <cell r="I120">
            <v>0</v>
          </cell>
        </row>
        <row r="121">
          <cell r="I121">
            <v>0</v>
          </cell>
        </row>
        <row r="122">
          <cell r="I122">
            <v>0</v>
          </cell>
        </row>
        <row r="123">
          <cell r="I123">
            <v>0</v>
          </cell>
        </row>
        <row r="124">
          <cell r="I124">
            <v>0</v>
          </cell>
        </row>
        <row r="125">
          <cell r="I125">
            <v>0</v>
          </cell>
        </row>
        <row r="126">
          <cell r="I126">
            <v>0</v>
          </cell>
        </row>
        <row r="127">
          <cell r="I127">
            <v>0</v>
          </cell>
        </row>
        <row r="128">
          <cell r="I128">
            <v>0</v>
          </cell>
        </row>
        <row r="129">
          <cell r="I129">
            <v>0</v>
          </cell>
        </row>
        <row r="130">
          <cell r="I130">
            <v>0</v>
          </cell>
        </row>
        <row r="131">
          <cell r="I131">
            <v>0</v>
          </cell>
        </row>
        <row r="132">
          <cell r="I132">
            <v>0</v>
          </cell>
        </row>
        <row r="133">
          <cell r="I133">
            <v>0</v>
          </cell>
        </row>
        <row r="134">
          <cell r="I134">
            <v>0</v>
          </cell>
        </row>
        <row r="135">
          <cell r="I135">
            <v>0</v>
          </cell>
        </row>
        <row r="136">
          <cell r="I136">
            <v>0</v>
          </cell>
        </row>
        <row r="137">
          <cell r="I137">
            <v>0</v>
          </cell>
        </row>
        <row r="138">
          <cell r="I138">
            <v>0</v>
          </cell>
        </row>
        <row r="139">
          <cell r="I139">
            <v>0</v>
          </cell>
        </row>
        <row r="140">
          <cell r="I140">
            <v>0</v>
          </cell>
        </row>
        <row r="141">
          <cell r="I141">
            <v>0</v>
          </cell>
        </row>
        <row r="142">
          <cell r="I142">
            <v>0</v>
          </cell>
        </row>
        <row r="143">
          <cell r="I143">
            <v>0</v>
          </cell>
        </row>
        <row r="144">
          <cell r="I144">
            <v>0</v>
          </cell>
        </row>
        <row r="145">
          <cell r="I145">
            <v>0</v>
          </cell>
        </row>
        <row r="146">
          <cell r="I146">
            <v>0</v>
          </cell>
        </row>
        <row r="147">
          <cell r="I147">
            <v>0</v>
          </cell>
        </row>
        <row r="148">
          <cell r="I148">
            <v>0</v>
          </cell>
        </row>
        <row r="149">
          <cell r="I149">
            <v>0</v>
          </cell>
        </row>
        <row r="150">
          <cell r="I150">
            <v>0</v>
          </cell>
        </row>
        <row r="151">
          <cell r="I151">
            <v>0</v>
          </cell>
        </row>
        <row r="152">
          <cell r="I152">
            <v>0</v>
          </cell>
        </row>
        <row r="153">
          <cell r="I153">
            <v>0</v>
          </cell>
        </row>
        <row r="154">
          <cell r="I154">
            <v>0</v>
          </cell>
        </row>
        <row r="155">
          <cell r="I155">
            <v>0</v>
          </cell>
        </row>
        <row r="156">
          <cell r="I156">
            <v>0</v>
          </cell>
        </row>
        <row r="157">
          <cell r="I157">
            <v>0</v>
          </cell>
        </row>
        <row r="158">
          <cell r="I158">
            <v>0</v>
          </cell>
        </row>
        <row r="159">
          <cell r="I159">
            <v>0</v>
          </cell>
        </row>
        <row r="160">
          <cell r="I160">
            <v>0</v>
          </cell>
        </row>
        <row r="161">
          <cell r="I161">
            <v>0</v>
          </cell>
        </row>
        <row r="162">
          <cell r="I162">
            <v>0</v>
          </cell>
        </row>
        <row r="163">
          <cell r="I163">
            <v>0</v>
          </cell>
        </row>
        <row r="164">
          <cell r="I164">
            <v>0</v>
          </cell>
        </row>
        <row r="165">
          <cell r="I165">
            <v>0</v>
          </cell>
        </row>
        <row r="166">
          <cell r="I166">
            <v>0</v>
          </cell>
        </row>
        <row r="167">
          <cell r="I167">
            <v>0</v>
          </cell>
        </row>
        <row r="168">
          <cell r="I168">
            <v>0</v>
          </cell>
        </row>
        <row r="169">
          <cell r="I169">
            <v>0</v>
          </cell>
        </row>
        <row r="170">
          <cell r="I170">
            <v>0</v>
          </cell>
        </row>
        <row r="171">
          <cell r="I171">
            <v>0</v>
          </cell>
        </row>
        <row r="172">
          <cell r="I172">
            <v>0</v>
          </cell>
        </row>
        <row r="173">
          <cell r="I173">
            <v>0</v>
          </cell>
        </row>
        <row r="174">
          <cell r="I174">
            <v>0</v>
          </cell>
        </row>
        <row r="175">
          <cell r="I175">
            <v>0</v>
          </cell>
        </row>
        <row r="176">
          <cell r="I176">
            <v>0</v>
          </cell>
        </row>
        <row r="177">
          <cell r="I177">
            <v>0</v>
          </cell>
        </row>
        <row r="178">
          <cell r="I178">
            <v>0</v>
          </cell>
        </row>
      </sheetData>
      <sheetData sheetId="2" refreshError="1"/>
      <sheetData sheetId="3" refreshError="1"/>
      <sheetData sheetId="4"/>
      <sheetData sheetId="5" refreshError="1"/>
      <sheetData sheetId="6">
        <row r="4">
          <cell r="A4" t="str">
            <v>Requirement</v>
          </cell>
          <cell r="B4" t="str">
            <v>Development</v>
          </cell>
        </row>
        <row r="5">
          <cell r="A5" t="str">
            <v>Design</v>
          </cell>
          <cell r="B5" t="str">
            <v>Integration</v>
          </cell>
        </row>
        <row r="6">
          <cell r="A6" t="str">
            <v>Project Management</v>
          </cell>
          <cell r="B6" t="str">
            <v>Porting</v>
          </cell>
        </row>
        <row r="7">
          <cell r="A7" t="str">
            <v>Implementation</v>
          </cell>
          <cell r="B7" t="str">
            <v>Enhancement</v>
          </cell>
        </row>
        <row r="8">
          <cell r="A8" t="str">
            <v>Testing</v>
          </cell>
          <cell r="B8" t="str">
            <v>SQA</v>
          </cell>
        </row>
        <row r="9">
          <cell r="A9" t="str">
            <v>Deployment</v>
          </cell>
          <cell r="B9" t="str">
            <v>Staff Augmentation</v>
          </cell>
        </row>
        <row r="10">
          <cell r="A10" t="str">
            <v>Environment</v>
          </cell>
        </row>
        <row r="13">
          <cell r="A13" t="str">
            <v>H</v>
          </cell>
        </row>
        <row r="14">
          <cell r="A14" t="str">
            <v>M</v>
          </cell>
        </row>
        <row r="15">
          <cell r="A15" t="str">
            <v>L</v>
          </cell>
        </row>
        <row r="18">
          <cell r="A18" t="str">
            <v>Technical</v>
          </cell>
        </row>
        <row r="19">
          <cell r="A19" t="str">
            <v>Travel and Logistic</v>
          </cell>
        </row>
        <row r="20">
          <cell r="A20" t="str">
            <v>Customer</v>
          </cell>
        </row>
        <row r="21">
          <cell r="A21" t="str">
            <v>Requirement and Scope</v>
          </cell>
        </row>
        <row r="22">
          <cell r="A22" t="str">
            <v>Schedule</v>
          </cell>
        </row>
        <row r="23">
          <cell r="A23" t="str">
            <v>Quality</v>
          </cell>
        </row>
        <row r="24">
          <cell r="A24" t="str">
            <v>Cost</v>
          </cell>
        </row>
        <row r="25">
          <cell r="A25" t="str">
            <v>Environment</v>
          </cell>
        </row>
        <row r="26">
          <cell r="A26" t="str">
            <v>Team</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 Id="rId9" Type="http://schemas.openxmlformats.org/officeDocument/2006/relationships/image" Target="../media/image4.emf"/></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X648"/>
  <sheetViews>
    <sheetView zoomScaleNormal="100" workbookViewId="0">
      <selection sqref="A1:K1"/>
    </sheetView>
  </sheetViews>
  <sheetFormatPr defaultRowHeight="12.75" x14ac:dyDescent="0.2"/>
  <cols>
    <col min="1" max="647" width="9.140625" style="23"/>
    <col min="648" max="648" width="0" style="23" hidden="1" customWidth="1"/>
    <col min="649" max="16384" width="9.140625" style="23"/>
  </cols>
  <sheetData>
    <row r="1" spans="1:88" x14ac:dyDescent="0.2">
      <c r="A1" s="105"/>
      <c r="B1" s="105"/>
      <c r="C1" s="105"/>
      <c r="D1" s="105"/>
      <c r="E1" s="105"/>
      <c r="F1" s="105"/>
      <c r="G1" s="105"/>
      <c r="H1" s="105"/>
      <c r="I1" s="105"/>
      <c r="J1" s="105"/>
      <c r="K1" s="105"/>
      <c r="L1" s="24"/>
      <c r="CJ1" s="23">
        <f>COLUMN()</f>
        <v>88</v>
      </c>
    </row>
    <row r="2" spans="1:88" ht="15.75" x14ac:dyDescent="0.2">
      <c r="A2" s="106" t="s">
        <v>46</v>
      </c>
      <c r="B2" s="107"/>
      <c r="C2" s="107"/>
      <c r="D2" s="107"/>
      <c r="E2" s="107"/>
      <c r="F2" s="107"/>
      <c r="G2" s="107"/>
      <c r="H2" s="107"/>
      <c r="I2" s="107"/>
      <c r="J2" s="107"/>
      <c r="K2" s="107"/>
      <c r="L2" s="24"/>
    </row>
    <row r="3" spans="1:88" x14ac:dyDescent="0.2">
      <c r="L3" s="24"/>
    </row>
    <row r="4" spans="1:88" x14ac:dyDescent="0.2">
      <c r="A4" s="108" t="s">
        <v>45</v>
      </c>
      <c r="B4" s="109"/>
      <c r="C4" s="109"/>
      <c r="D4" s="109"/>
      <c r="E4" s="109"/>
      <c r="F4" s="109"/>
      <c r="G4" s="109"/>
      <c r="H4" s="109"/>
      <c r="I4" s="109"/>
      <c r="J4" s="109"/>
      <c r="K4" s="109"/>
      <c r="L4" s="24"/>
    </row>
    <row r="6" spans="1:88" x14ac:dyDescent="0.2">
      <c r="A6" s="4" t="s">
        <v>39</v>
      </c>
      <c r="B6" s="5"/>
      <c r="C6" s="5"/>
      <c r="D6" s="5"/>
      <c r="E6" s="5"/>
      <c r="F6" s="5"/>
      <c r="G6" s="5"/>
      <c r="H6" s="5"/>
      <c r="I6" s="5"/>
      <c r="J6" s="5"/>
      <c r="K6" s="5"/>
    </row>
    <row r="7" spans="1:88" x14ac:dyDescent="0.2">
      <c r="A7" s="6" t="s">
        <v>42</v>
      </c>
      <c r="B7" s="6"/>
      <c r="C7" s="6"/>
      <c r="D7" s="6"/>
      <c r="E7" s="6"/>
      <c r="F7" s="6"/>
      <c r="G7" s="6"/>
      <c r="H7" s="6"/>
      <c r="I7" s="6"/>
      <c r="J7" s="6"/>
      <c r="K7" s="6"/>
    </row>
    <row r="8" spans="1:88" x14ac:dyDescent="0.2">
      <c r="A8" s="6" t="s">
        <v>43</v>
      </c>
      <c r="B8" s="6"/>
      <c r="C8" s="6"/>
      <c r="D8" s="6"/>
      <c r="E8" s="6"/>
      <c r="F8" s="6"/>
      <c r="G8" s="6"/>
      <c r="H8" s="6"/>
      <c r="I8" s="6"/>
      <c r="J8" s="6"/>
      <c r="K8" s="6"/>
    </row>
    <row r="9" spans="1:88" x14ac:dyDescent="0.2">
      <c r="A9" s="6" t="s">
        <v>40</v>
      </c>
      <c r="B9" s="6"/>
      <c r="C9" s="6"/>
      <c r="D9" s="6"/>
      <c r="E9" s="6"/>
      <c r="F9" s="6"/>
      <c r="G9" s="6"/>
      <c r="H9" s="6"/>
      <c r="I9" s="6"/>
      <c r="J9" s="6"/>
      <c r="K9" s="6"/>
    </row>
    <row r="10" spans="1:88" x14ac:dyDescent="0.2">
      <c r="A10" s="6" t="s">
        <v>41</v>
      </c>
      <c r="B10" s="6"/>
      <c r="C10" s="6"/>
      <c r="D10" s="6"/>
      <c r="E10" s="6"/>
      <c r="F10" s="6"/>
      <c r="G10" s="6"/>
      <c r="H10" s="6"/>
      <c r="I10" s="6"/>
      <c r="J10" s="6"/>
      <c r="K10" s="6"/>
    </row>
    <row r="11" spans="1:88" x14ac:dyDescent="0.2">
      <c r="A11" s="6" t="s">
        <v>44</v>
      </c>
      <c r="B11" s="6"/>
      <c r="C11" s="6"/>
      <c r="D11" s="6"/>
      <c r="E11" s="6"/>
      <c r="F11" s="6"/>
      <c r="G11" s="6"/>
      <c r="H11" s="6"/>
      <c r="I11" s="6"/>
      <c r="J11" s="6"/>
      <c r="K11" s="6"/>
    </row>
    <row r="12" spans="1:88" x14ac:dyDescent="0.2">
      <c r="A12" s="7"/>
      <c r="B12" s="7"/>
      <c r="C12" s="7"/>
      <c r="D12" s="7"/>
      <c r="E12" s="7"/>
      <c r="F12" s="7"/>
      <c r="G12" s="7"/>
      <c r="H12" s="7"/>
      <c r="I12" s="7"/>
      <c r="J12" s="7"/>
      <c r="K12" s="7"/>
    </row>
    <row r="648" spans="648:648" hidden="1" x14ac:dyDescent="0.2">
      <c r="XX648" s="66" t="s">
        <v>101</v>
      </c>
    </row>
  </sheetData>
  <mergeCells count="3">
    <mergeCell ref="A1:K1"/>
    <mergeCell ref="A2:K2"/>
    <mergeCell ref="A4:K4"/>
  </mergeCells>
  <phoneticPr fontId="0" type="noConversion"/>
  <pageMargins left="0.75" right="0.75" top="1" bottom="1" header="0.5" footer="0.5"/>
  <pageSetup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outlinePr summaryRight="0"/>
  </sheetPr>
  <dimension ref="A1:BB47"/>
  <sheetViews>
    <sheetView showGridLines="0" tabSelected="1" zoomScaleNormal="100" workbookViewId="0">
      <pane ySplit="13" topLeftCell="A14" activePane="bottomLeft" state="frozen"/>
      <selection pane="bottomLeft" activeCell="B14" sqref="B14"/>
    </sheetView>
  </sheetViews>
  <sheetFormatPr defaultRowHeight="12.75" outlineLevelCol="1" x14ac:dyDescent="0.2"/>
  <cols>
    <col min="1" max="1" width="11.5703125" style="10" customWidth="1"/>
    <col min="2" max="2" width="48.42578125" style="10" bestFit="1" customWidth="1"/>
    <col min="3" max="3" width="20.42578125" style="10" bestFit="1" customWidth="1"/>
    <col min="4" max="6" width="7.85546875" style="10" customWidth="1"/>
    <col min="7" max="9" width="7.7109375" style="10" customWidth="1"/>
    <col min="10" max="10" width="7" style="21" customWidth="1"/>
    <col min="11" max="11" width="3" style="21" customWidth="1" collapsed="1"/>
    <col min="12" max="13" width="10.28515625" style="21" hidden="1" customWidth="1" outlineLevel="1"/>
    <col min="14" max="14" width="10.28515625" style="22" hidden="1" customWidth="1" outlineLevel="1"/>
    <col min="15" max="15" width="12" style="10" hidden="1" customWidth="1" outlineLevel="1"/>
    <col min="16" max="18" width="10.28515625" style="10" hidden="1" customWidth="1" outlineLevel="1"/>
    <col min="19" max="19" width="12" style="10" hidden="1" customWidth="1" outlineLevel="1"/>
    <col min="20" max="20" width="12.7109375" style="10" bestFit="1" customWidth="1"/>
    <col min="21" max="21" width="9" style="10" customWidth="1"/>
    <col min="22" max="22" width="2.28515625" style="10" customWidth="1"/>
    <col min="23" max="24" width="8.5703125" style="10" customWidth="1"/>
    <col min="25" max="25" width="9" style="10" customWidth="1"/>
    <col min="26" max="51" width="9.140625" style="10"/>
    <col min="52" max="52" width="2" style="10" customWidth="1"/>
    <col min="53" max="53" width="17.42578125" style="10" customWidth="1"/>
    <col min="54" max="54" width="7.140625" style="10" customWidth="1"/>
    <col min="55" max="55" width="2" style="10" customWidth="1"/>
    <col min="56" max="16384" width="9.140625" style="10"/>
  </cols>
  <sheetData>
    <row r="1" spans="1:54" ht="8.25" customHeight="1" x14ac:dyDescent="0.2"/>
    <row r="2" spans="1:54" ht="14.25" customHeight="1" x14ac:dyDescent="0.2">
      <c r="T2" s="64" t="s">
        <v>98</v>
      </c>
      <c r="U2" s="63" t="s">
        <v>127</v>
      </c>
      <c r="W2" s="119" t="s">
        <v>99</v>
      </c>
      <c r="X2" s="120"/>
      <c r="Y2" s="63" t="s">
        <v>127</v>
      </c>
      <c r="BA2" s="83" t="s">
        <v>115</v>
      </c>
      <c r="BB2" s="84" t="s">
        <v>114</v>
      </c>
    </row>
    <row r="3" spans="1:54" x14ac:dyDescent="0.2">
      <c r="A3" s="85"/>
      <c r="B3" s="85"/>
      <c r="C3" s="85"/>
      <c r="D3" s="85"/>
      <c r="E3" s="112" t="s">
        <v>13</v>
      </c>
      <c r="F3" s="112"/>
      <c r="G3" s="116"/>
      <c r="H3" s="117"/>
      <c r="I3" s="117"/>
      <c r="J3" s="118"/>
      <c r="K3" s="10"/>
      <c r="L3" s="10"/>
      <c r="M3" s="10"/>
      <c r="N3" s="86"/>
      <c r="T3" s="121" t="s">
        <v>133</v>
      </c>
      <c r="U3" s="121"/>
      <c r="V3" s="121"/>
      <c r="W3" s="121"/>
      <c r="X3" s="121"/>
      <c r="Y3" s="121"/>
      <c r="BA3" s="68" t="s">
        <v>49</v>
      </c>
      <c r="BB3" s="87" t="s">
        <v>127</v>
      </c>
    </row>
    <row r="4" spans="1:54" x14ac:dyDescent="0.2">
      <c r="A4" s="88" t="s">
        <v>12</v>
      </c>
      <c r="B4" s="89"/>
      <c r="C4" s="85"/>
      <c r="D4" s="85"/>
      <c r="E4" s="112" t="s">
        <v>26</v>
      </c>
      <c r="F4" s="112"/>
      <c r="G4" s="116"/>
      <c r="H4" s="117"/>
      <c r="I4" s="117"/>
      <c r="J4" s="118"/>
      <c r="K4" s="10"/>
      <c r="L4" s="10"/>
      <c r="M4" s="10"/>
      <c r="N4" s="10"/>
      <c r="T4" s="99"/>
      <c r="U4" s="99"/>
      <c r="V4" s="99"/>
      <c r="W4" s="99"/>
      <c r="X4" s="99"/>
      <c r="Y4" s="99"/>
      <c r="BA4" s="68" t="s">
        <v>8</v>
      </c>
      <c r="BB4" s="87" t="s">
        <v>127</v>
      </c>
    </row>
    <row r="5" spans="1:54" x14ac:dyDescent="0.2">
      <c r="A5" s="88" t="s">
        <v>100</v>
      </c>
      <c r="B5" s="89" t="s">
        <v>122</v>
      </c>
      <c r="C5" s="85"/>
      <c r="D5" s="85"/>
      <c r="E5" s="110" t="s">
        <v>27</v>
      </c>
      <c r="F5" s="111"/>
      <c r="G5" s="113" t="s">
        <v>52</v>
      </c>
      <c r="H5" s="114"/>
      <c r="I5" s="114"/>
      <c r="J5" s="115"/>
      <c r="K5" s="10"/>
      <c r="L5" s="10"/>
      <c r="M5" s="10"/>
      <c r="N5" s="10"/>
      <c r="T5" s="99"/>
      <c r="U5" s="99"/>
      <c r="V5" s="99"/>
      <c r="W5" s="99"/>
      <c r="X5" s="99"/>
      <c r="Y5" s="99"/>
      <c r="BA5" s="68" t="s">
        <v>90</v>
      </c>
      <c r="BB5" s="87" t="s">
        <v>127</v>
      </c>
    </row>
    <row r="6" spans="1:54" x14ac:dyDescent="0.2">
      <c r="J6" s="10"/>
      <c r="K6" s="10"/>
      <c r="L6" s="10"/>
      <c r="M6" s="10"/>
      <c r="N6" s="10"/>
      <c r="T6" s="99"/>
      <c r="U6" s="99"/>
      <c r="V6" s="99"/>
      <c r="W6" s="99"/>
      <c r="X6" s="99"/>
      <c r="Y6" s="99"/>
      <c r="BA6" s="68" t="s">
        <v>38</v>
      </c>
      <c r="BB6" s="87" t="s">
        <v>127</v>
      </c>
    </row>
    <row r="7" spans="1:54" x14ac:dyDescent="0.2">
      <c r="B7" s="90" t="s">
        <v>128</v>
      </c>
      <c r="C7" s="91">
        <f>G45+I45</f>
        <v>796.85342123866508</v>
      </c>
      <c r="E7" s="92"/>
      <c r="F7" s="123" t="s">
        <v>129</v>
      </c>
      <c r="G7" s="124"/>
      <c r="H7" s="124"/>
      <c r="I7" s="125"/>
      <c r="J7" s="93">
        <f>G45</f>
        <v>750.649</v>
      </c>
      <c r="K7" s="10"/>
      <c r="L7" s="10"/>
      <c r="M7" s="122" t="s">
        <v>24</v>
      </c>
      <c r="N7" s="122"/>
      <c r="O7" s="122"/>
      <c r="P7" s="94">
        <v>1.25</v>
      </c>
      <c r="T7" s="99"/>
      <c r="U7" s="99"/>
      <c r="V7" s="99"/>
      <c r="W7" s="99"/>
      <c r="X7" s="99"/>
      <c r="Y7" s="99"/>
      <c r="BA7" s="68" t="s">
        <v>9</v>
      </c>
      <c r="BB7" s="87" t="s">
        <v>127</v>
      </c>
    </row>
    <row r="8" spans="1:54" x14ac:dyDescent="0.2">
      <c r="A8" s="85"/>
      <c r="B8" s="95" t="s">
        <v>58</v>
      </c>
      <c r="C8" s="91">
        <f>'Detailed Risk Impact Estimates'!C47</f>
        <v>50.3</v>
      </c>
      <c r="E8" s="92"/>
      <c r="F8" s="123" t="s">
        <v>130</v>
      </c>
      <c r="G8" s="124"/>
      <c r="H8" s="124"/>
      <c r="I8" s="125"/>
      <c r="J8" s="93">
        <f>G45+(2*I45)+C8</f>
        <v>893.35784247733</v>
      </c>
      <c r="K8" s="10"/>
      <c r="L8" s="10"/>
      <c r="M8" s="122" t="s">
        <v>25</v>
      </c>
      <c r="N8" s="122"/>
      <c r="O8" s="122"/>
      <c r="P8" s="94">
        <v>0.75</v>
      </c>
      <c r="T8" s="99"/>
      <c r="U8" s="99"/>
      <c r="V8" s="99"/>
      <c r="W8" s="99"/>
      <c r="X8" s="99"/>
      <c r="Y8" s="99"/>
      <c r="BA8" s="68" t="s">
        <v>89</v>
      </c>
      <c r="BB8" s="87" t="s">
        <v>127</v>
      </c>
    </row>
    <row r="9" spans="1:54" x14ac:dyDescent="0.2">
      <c r="A9" s="85"/>
      <c r="B9" s="96" t="s">
        <v>59</v>
      </c>
      <c r="C9" s="97">
        <f>SUM(C7:C8)</f>
        <v>847.15342123866503</v>
      </c>
      <c r="J9" s="10"/>
      <c r="K9" s="86"/>
      <c r="L9" s="10"/>
      <c r="M9" s="10"/>
      <c r="N9" s="10"/>
      <c r="T9" s="99"/>
      <c r="U9" s="99"/>
      <c r="V9" s="99"/>
      <c r="W9" s="99"/>
      <c r="X9" s="99"/>
      <c r="Y9" s="99"/>
      <c r="BA9" s="68"/>
      <c r="BB9" s="87"/>
    </row>
    <row r="10" spans="1:54" x14ac:dyDescent="0.2">
      <c r="A10" s="85"/>
      <c r="B10" s="85"/>
      <c r="C10" s="85"/>
      <c r="J10" s="10"/>
      <c r="K10" s="86"/>
      <c r="L10" s="126" t="s">
        <v>131</v>
      </c>
      <c r="M10" s="127"/>
      <c r="N10" s="127"/>
      <c r="O10" s="128"/>
      <c r="P10" s="126" t="s">
        <v>132</v>
      </c>
      <c r="Q10" s="127"/>
      <c r="R10" s="127"/>
      <c r="S10" s="127"/>
      <c r="T10" s="99"/>
      <c r="U10" s="99"/>
      <c r="V10" s="99"/>
      <c r="W10" s="99"/>
      <c r="X10" s="99"/>
      <c r="Y10" s="99"/>
    </row>
    <row r="11" spans="1:54" x14ac:dyDescent="0.2">
      <c r="A11" s="144" t="s">
        <v>6</v>
      </c>
      <c r="B11" s="144" t="s">
        <v>0</v>
      </c>
      <c r="C11" s="144" t="s">
        <v>7</v>
      </c>
      <c r="D11" s="132" t="s">
        <v>1</v>
      </c>
      <c r="E11" s="133"/>
      <c r="F11" s="133"/>
      <c r="G11" s="133"/>
      <c r="H11" s="133"/>
      <c r="I11" s="133"/>
      <c r="J11" s="134"/>
      <c r="K11" s="9"/>
      <c r="L11" s="132" t="s">
        <v>2</v>
      </c>
      <c r="M11" s="133"/>
      <c r="N11" s="133"/>
      <c r="O11" s="134"/>
      <c r="P11" s="129" t="s">
        <v>3</v>
      </c>
      <c r="Q11" s="129"/>
      <c r="R11" s="129"/>
      <c r="S11" s="132"/>
      <c r="T11" s="99"/>
      <c r="U11" s="99"/>
      <c r="V11" s="99"/>
      <c r="W11" s="99"/>
      <c r="X11" s="99"/>
      <c r="Y11" s="99"/>
    </row>
    <row r="12" spans="1:54" ht="12.75" customHeight="1" x14ac:dyDescent="0.2">
      <c r="A12" s="145"/>
      <c r="B12" s="145"/>
      <c r="C12" s="145"/>
      <c r="D12" s="130" t="s">
        <v>55</v>
      </c>
      <c r="E12" s="130" t="s">
        <v>56</v>
      </c>
      <c r="F12" s="130" t="s">
        <v>57</v>
      </c>
      <c r="G12" s="129" t="s">
        <v>54</v>
      </c>
      <c r="H12" s="129"/>
      <c r="I12" s="129"/>
      <c r="J12" s="129"/>
      <c r="K12" s="9"/>
      <c r="L12" s="140" t="s">
        <v>55</v>
      </c>
      <c r="M12" s="140" t="s">
        <v>56</v>
      </c>
      <c r="N12" s="140" t="s">
        <v>57</v>
      </c>
      <c r="O12" s="138" t="s">
        <v>60</v>
      </c>
      <c r="P12" s="140" t="s">
        <v>55</v>
      </c>
      <c r="Q12" s="140" t="s">
        <v>56</v>
      </c>
      <c r="R12" s="140" t="s">
        <v>57</v>
      </c>
      <c r="S12" s="142" t="s">
        <v>61</v>
      </c>
      <c r="T12" s="99"/>
      <c r="U12" s="99"/>
      <c r="V12" s="99"/>
      <c r="W12" s="99"/>
      <c r="X12" s="99"/>
      <c r="Y12" s="99"/>
    </row>
    <row r="13" spans="1:54" ht="48" customHeight="1" x14ac:dyDescent="0.2">
      <c r="A13" s="146"/>
      <c r="B13" s="146"/>
      <c r="C13" s="146"/>
      <c r="D13" s="131"/>
      <c r="E13" s="131"/>
      <c r="F13" s="131"/>
      <c r="G13" s="100" t="s">
        <v>34</v>
      </c>
      <c r="H13" s="100" t="s">
        <v>30</v>
      </c>
      <c r="I13" s="100" t="s">
        <v>28</v>
      </c>
      <c r="J13" s="100" t="s">
        <v>5</v>
      </c>
      <c r="K13" s="9"/>
      <c r="L13" s="141"/>
      <c r="M13" s="141"/>
      <c r="N13" s="141"/>
      <c r="O13" s="139"/>
      <c r="P13" s="141"/>
      <c r="Q13" s="141"/>
      <c r="R13" s="141"/>
      <c r="S13" s="143"/>
      <c r="T13" s="99"/>
      <c r="U13" s="99"/>
      <c r="V13" s="99"/>
      <c r="W13" s="99"/>
      <c r="X13" s="99"/>
      <c r="Y13" s="99"/>
    </row>
    <row r="14" spans="1:54" x14ac:dyDescent="0.2">
      <c r="A14" s="65">
        <f t="shared" ref="A14:A36" si="0">IF(B14&lt;&gt;"",ROW() - 13,"")</f>
        <v>1</v>
      </c>
      <c r="B14" s="101" t="s">
        <v>51</v>
      </c>
      <c r="C14" s="62"/>
      <c r="D14" s="11"/>
      <c r="E14" s="11"/>
      <c r="F14" s="11"/>
      <c r="G14" s="14">
        <f t="shared" ref="G14:G44" si="1">(D14+F14+(E14*4))/6</f>
        <v>0</v>
      </c>
      <c r="H14" s="14">
        <f t="shared" ref="H14:H44" si="2">(D14+E14+F14)/3</f>
        <v>0</v>
      </c>
      <c r="I14" s="14">
        <f t="shared" ref="I14:I44" si="3">SQRT(J14)</f>
        <v>0</v>
      </c>
      <c r="J14" s="70">
        <f t="shared" ref="J14:J44" si="4">(POWER(F14-D14,2)+(E14-D14)*(E14-F14))/18</f>
        <v>0</v>
      </c>
      <c r="K14" s="12"/>
      <c r="L14" s="13">
        <f t="shared" ref="L14:L44" si="5">D14*Green_Team_Productivity_Multiplier</f>
        <v>0</v>
      </c>
      <c r="M14" s="14">
        <f t="shared" ref="M14:M44" si="6">E14*Green_Team_Productivity_Multiplier</f>
        <v>0</v>
      </c>
      <c r="N14" s="14">
        <f t="shared" ref="N14:N44" si="7">F14*Green_Team_Productivity_Multiplier</f>
        <v>0</v>
      </c>
      <c r="O14" s="15">
        <f t="shared" ref="O14:O44" si="8">(N14+L14+(4*M14))/6</f>
        <v>0</v>
      </c>
      <c r="P14" s="14">
        <f t="shared" ref="P14:P44" si="9">D14*Expert_Team_Productivity_Multiplier</f>
        <v>0</v>
      </c>
      <c r="Q14" s="14">
        <f t="shared" ref="Q14:Q44" si="10">E14*Expert_Team_Productivity_Multiplier</f>
        <v>0</v>
      </c>
      <c r="R14" s="14">
        <f t="shared" ref="R14:R44" si="11">F14*Expert_Team_Productivity_Multiplier</f>
        <v>0</v>
      </c>
      <c r="S14" s="16">
        <f t="shared" ref="S14:S44" si="12">(R14+P14+(4*Q14))/6</f>
        <v>0</v>
      </c>
      <c r="T14" s="17"/>
    </row>
    <row r="15" spans="1:54" x14ac:dyDescent="0.2">
      <c r="A15" s="65">
        <f t="shared" si="0"/>
        <v>2</v>
      </c>
      <c r="B15" s="102" t="s">
        <v>134</v>
      </c>
      <c r="C15" s="62" t="s">
        <v>110</v>
      </c>
      <c r="D15" s="11">
        <v>3.75</v>
      </c>
      <c r="E15" s="11">
        <v>5</v>
      </c>
      <c r="F15" s="11">
        <v>8</v>
      </c>
      <c r="G15" s="14">
        <f t="shared" si="1"/>
        <v>5.291666666666667</v>
      </c>
      <c r="H15" s="14">
        <f t="shared" si="2"/>
        <v>5.583333333333333</v>
      </c>
      <c r="I15" s="14">
        <f t="shared" si="3"/>
        <v>0.89170560662636233</v>
      </c>
      <c r="J15" s="70">
        <f t="shared" si="4"/>
        <v>0.79513888888888884</v>
      </c>
      <c r="K15" s="12"/>
      <c r="L15" s="13">
        <f t="shared" si="5"/>
        <v>4.6875</v>
      </c>
      <c r="M15" s="14">
        <f t="shared" si="6"/>
        <v>6.25</v>
      </c>
      <c r="N15" s="14">
        <f t="shared" si="7"/>
        <v>10</v>
      </c>
      <c r="O15" s="15">
        <f t="shared" si="8"/>
        <v>6.614583333333333</v>
      </c>
      <c r="P15" s="14">
        <f t="shared" si="9"/>
        <v>2.8125</v>
      </c>
      <c r="Q15" s="14">
        <f t="shared" si="10"/>
        <v>3.75</v>
      </c>
      <c r="R15" s="14">
        <f t="shared" si="11"/>
        <v>6</v>
      </c>
      <c r="S15" s="16">
        <f t="shared" si="12"/>
        <v>3.96875</v>
      </c>
      <c r="T15" s="17"/>
    </row>
    <row r="16" spans="1:54" x14ac:dyDescent="0.2">
      <c r="A16" s="65">
        <f t="shared" si="0"/>
        <v>3</v>
      </c>
      <c r="B16" s="53" t="s">
        <v>135</v>
      </c>
      <c r="C16" s="62"/>
      <c r="D16" s="11"/>
      <c r="E16" s="11"/>
      <c r="F16" s="11"/>
      <c r="G16" s="14">
        <f t="shared" si="1"/>
        <v>0</v>
      </c>
      <c r="H16" s="14">
        <f t="shared" si="2"/>
        <v>0</v>
      </c>
      <c r="I16" s="14">
        <f t="shared" si="3"/>
        <v>0</v>
      </c>
      <c r="J16" s="70">
        <f t="shared" si="4"/>
        <v>0</v>
      </c>
      <c r="K16" s="12"/>
      <c r="L16" s="13">
        <f t="shared" si="5"/>
        <v>0</v>
      </c>
      <c r="M16" s="14">
        <f t="shared" si="6"/>
        <v>0</v>
      </c>
      <c r="N16" s="14">
        <f t="shared" si="7"/>
        <v>0</v>
      </c>
      <c r="O16" s="15">
        <f t="shared" si="8"/>
        <v>0</v>
      </c>
      <c r="P16" s="14">
        <f t="shared" si="9"/>
        <v>0</v>
      </c>
      <c r="Q16" s="14">
        <f t="shared" si="10"/>
        <v>0</v>
      </c>
      <c r="R16" s="14">
        <f t="shared" si="11"/>
        <v>0</v>
      </c>
      <c r="S16" s="16">
        <f t="shared" si="12"/>
        <v>0</v>
      </c>
      <c r="T16" s="17"/>
    </row>
    <row r="17" spans="1:20" x14ac:dyDescent="0.2">
      <c r="A17" s="65">
        <f t="shared" si="0"/>
        <v>4</v>
      </c>
      <c r="B17" s="53" t="s">
        <v>141</v>
      </c>
      <c r="C17" s="62" t="s">
        <v>110</v>
      </c>
      <c r="D17" s="11">
        <v>15</v>
      </c>
      <c r="E17" s="11">
        <v>20</v>
      </c>
      <c r="F17" s="11">
        <v>30</v>
      </c>
      <c r="G17" s="14">
        <f t="shared" si="1"/>
        <v>20.833333333333332</v>
      </c>
      <c r="H17" s="14">
        <f t="shared" si="2"/>
        <v>21.666666666666668</v>
      </c>
      <c r="I17" s="14">
        <f t="shared" si="3"/>
        <v>3.1180478223116177</v>
      </c>
      <c r="J17" s="70">
        <f t="shared" si="4"/>
        <v>9.7222222222222214</v>
      </c>
      <c r="K17" s="12"/>
      <c r="L17" s="13">
        <f t="shared" si="5"/>
        <v>18.75</v>
      </c>
      <c r="M17" s="14">
        <f t="shared" si="6"/>
        <v>25</v>
      </c>
      <c r="N17" s="14">
        <f t="shared" si="7"/>
        <v>37.5</v>
      </c>
      <c r="O17" s="15">
        <f t="shared" si="8"/>
        <v>26.041666666666668</v>
      </c>
      <c r="P17" s="14">
        <f t="shared" si="9"/>
        <v>11.25</v>
      </c>
      <c r="Q17" s="14">
        <f t="shared" si="10"/>
        <v>15</v>
      </c>
      <c r="R17" s="14">
        <f t="shared" si="11"/>
        <v>22.5</v>
      </c>
      <c r="S17" s="16">
        <f t="shared" si="12"/>
        <v>15.625</v>
      </c>
      <c r="T17" s="17"/>
    </row>
    <row r="18" spans="1:20" x14ac:dyDescent="0.2">
      <c r="A18" s="65">
        <f>ROW() - 13</f>
        <v>5</v>
      </c>
      <c r="B18" s="53" t="s">
        <v>142</v>
      </c>
      <c r="C18" s="62" t="s">
        <v>110</v>
      </c>
      <c r="D18" s="11">
        <v>7</v>
      </c>
      <c r="E18" s="11">
        <v>10</v>
      </c>
      <c r="F18" s="11">
        <v>15</v>
      </c>
      <c r="G18" s="14">
        <f t="shared" ref="G18:G22" si="13">(D18+F18+(E18*4))/6</f>
        <v>10.333333333333334</v>
      </c>
      <c r="H18" s="14">
        <f t="shared" ref="H18:H22" si="14">(D18+E18+F18)/3</f>
        <v>10.666666666666666</v>
      </c>
      <c r="I18" s="14">
        <f t="shared" ref="I18:I22" si="15">SQRT(J18)</f>
        <v>1.6499158227686108</v>
      </c>
      <c r="J18" s="70">
        <f t="shared" ref="J18:J22" si="16">(POWER(F18-D18,2)+(E18-D18)*(E18-F18))/18</f>
        <v>2.7222222222222223</v>
      </c>
      <c r="K18" s="12"/>
      <c r="L18" s="13">
        <f t="shared" ref="L18:L22" si="17">D18*Green_Team_Productivity_Multiplier</f>
        <v>8.75</v>
      </c>
      <c r="M18" s="14">
        <f t="shared" ref="M18:M22" si="18">E18*Green_Team_Productivity_Multiplier</f>
        <v>12.5</v>
      </c>
      <c r="N18" s="14">
        <f t="shared" ref="N18:N22" si="19">F18*Green_Team_Productivity_Multiplier</f>
        <v>18.75</v>
      </c>
      <c r="O18" s="15">
        <f t="shared" ref="O18:O22" si="20">(N18+L18+(4*M18))/6</f>
        <v>12.916666666666666</v>
      </c>
      <c r="P18" s="14">
        <f t="shared" ref="P18:P22" si="21">D18*Expert_Team_Productivity_Multiplier</f>
        <v>5.25</v>
      </c>
      <c r="Q18" s="14">
        <f t="shared" ref="Q18:Q22" si="22">E18*Expert_Team_Productivity_Multiplier</f>
        <v>7.5</v>
      </c>
      <c r="R18" s="14">
        <f t="shared" ref="R18:R22" si="23">F18*Expert_Team_Productivity_Multiplier</f>
        <v>11.25</v>
      </c>
      <c r="S18" s="16">
        <f t="shared" ref="S18:S22" si="24">(R18+P18+(4*Q18))/6</f>
        <v>7.75</v>
      </c>
      <c r="T18" s="17"/>
    </row>
    <row r="19" spans="1:20" x14ac:dyDescent="0.2">
      <c r="A19" s="65">
        <f>ROW() - 13</f>
        <v>6</v>
      </c>
      <c r="B19" s="53" t="s">
        <v>143</v>
      </c>
      <c r="C19" s="62" t="s">
        <v>110</v>
      </c>
      <c r="D19" s="11">
        <v>1</v>
      </c>
      <c r="E19" s="11">
        <v>1.25</v>
      </c>
      <c r="F19" s="11">
        <v>4</v>
      </c>
      <c r="G19" s="14">
        <f t="shared" si="13"/>
        <v>1.6666666666666667</v>
      </c>
      <c r="H19" s="14">
        <f t="shared" si="14"/>
        <v>2.0833333333333335</v>
      </c>
      <c r="I19" s="14">
        <f t="shared" si="15"/>
        <v>0.67956276792917047</v>
      </c>
      <c r="J19" s="70">
        <f t="shared" si="16"/>
        <v>0.46180555555555558</v>
      </c>
      <c r="K19" s="12"/>
      <c r="L19" s="13">
        <f t="shared" si="17"/>
        <v>1.25</v>
      </c>
      <c r="M19" s="14">
        <f t="shared" si="18"/>
        <v>1.5625</v>
      </c>
      <c r="N19" s="14">
        <f t="shared" si="19"/>
        <v>5</v>
      </c>
      <c r="O19" s="15">
        <f t="shared" si="20"/>
        <v>2.0833333333333335</v>
      </c>
      <c r="P19" s="14">
        <f t="shared" si="21"/>
        <v>0.75</v>
      </c>
      <c r="Q19" s="14">
        <f t="shared" si="22"/>
        <v>0.9375</v>
      </c>
      <c r="R19" s="14">
        <f t="shared" si="23"/>
        <v>3</v>
      </c>
      <c r="S19" s="16">
        <f t="shared" si="24"/>
        <v>1.25</v>
      </c>
      <c r="T19" s="17"/>
    </row>
    <row r="20" spans="1:20" x14ac:dyDescent="0.2">
      <c r="A20" s="65">
        <f>ROW() - 13</f>
        <v>7</v>
      </c>
      <c r="B20" s="53" t="s">
        <v>144</v>
      </c>
      <c r="C20" s="62" t="s">
        <v>110</v>
      </c>
      <c r="D20" s="11">
        <v>1.2</v>
      </c>
      <c r="E20" s="11">
        <v>1.66</v>
      </c>
      <c r="F20" s="11">
        <v>4</v>
      </c>
      <c r="G20" s="14">
        <f t="shared" si="13"/>
        <v>1.9733333333333334</v>
      </c>
      <c r="H20" s="14">
        <f t="shared" si="14"/>
        <v>2.2866666666666666</v>
      </c>
      <c r="I20" s="14">
        <f t="shared" si="15"/>
        <v>0.61298903379714342</v>
      </c>
      <c r="J20" s="70">
        <f t="shared" si="16"/>
        <v>0.37575555555555551</v>
      </c>
      <c r="K20" s="12"/>
      <c r="L20" s="13">
        <f t="shared" si="17"/>
        <v>1.5</v>
      </c>
      <c r="M20" s="14">
        <f t="shared" si="18"/>
        <v>2.0749999999999997</v>
      </c>
      <c r="N20" s="14">
        <f t="shared" si="19"/>
        <v>5</v>
      </c>
      <c r="O20" s="15">
        <f t="shared" si="20"/>
        <v>2.4666666666666663</v>
      </c>
      <c r="P20" s="14">
        <f t="shared" si="21"/>
        <v>0.89999999999999991</v>
      </c>
      <c r="Q20" s="14">
        <f t="shared" si="22"/>
        <v>1.2449999999999999</v>
      </c>
      <c r="R20" s="14">
        <f t="shared" si="23"/>
        <v>3</v>
      </c>
      <c r="S20" s="16">
        <f t="shared" si="24"/>
        <v>1.4799999999999998</v>
      </c>
      <c r="T20" s="17"/>
    </row>
    <row r="21" spans="1:20" x14ac:dyDescent="0.2">
      <c r="A21" s="65">
        <f>ROW() - 13</f>
        <v>8</v>
      </c>
      <c r="B21" s="53" t="s">
        <v>145</v>
      </c>
      <c r="C21" s="62" t="s">
        <v>110</v>
      </c>
      <c r="D21" s="11">
        <v>1.2</v>
      </c>
      <c r="E21" s="11">
        <v>1.66</v>
      </c>
      <c r="F21" s="11">
        <v>4</v>
      </c>
      <c r="G21" s="14">
        <f t="shared" si="13"/>
        <v>1.9733333333333334</v>
      </c>
      <c r="H21" s="14">
        <f t="shared" si="14"/>
        <v>2.2866666666666666</v>
      </c>
      <c r="I21" s="14">
        <f t="shared" si="15"/>
        <v>0.61298903379714342</v>
      </c>
      <c r="J21" s="70">
        <f t="shared" si="16"/>
        <v>0.37575555555555551</v>
      </c>
      <c r="K21" s="12"/>
      <c r="L21" s="13">
        <f t="shared" si="17"/>
        <v>1.5</v>
      </c>
      <c r="M21" s="14">
        <f t="shared" si="18"/>
        <v>2.0749999999999997</v>
      </c>
      <c r="N21" s="14">
        <f t="shared" si="19"/>
        <v>5</v>
      </c>
      <c r="O21" s="15">
        <f t="shared" si="20"/>
        <v>2.4666666666666663</v>
      </c>
      <c r="P21" s="14">
        <f t="shared" si="21"/>
        <v>0.89999999999999991</v>
      </c>
      <c r="Q21" s="14">
        <f t="shared" si="22"/>
        <v>1.2449999999999999</v>
      </c>
      <c r="R21" s="14">
        <f t="shared" si="23"/>
        <v>3</v>
      </c>
      <c r="S21" s="16">
        <f t="shared" si="24"/>
        <v>1.4799999999999998</v>
      </c>
      <c r="T21" s="17"/>
    </row>
    <row r="22" spans="1:20" x14ac:dyDescent="0.2">
      <c r="A22" s="65">
        <f>ROW() - 13</f>
        <v>9</v>
      </c>
      <c r="B22" s="53" t="s">
        <v>146</v>
      </c>
      <c r="C22" s="62" t="s">
        <v>110</v>
      </c>
      <c r="D22" s="11">
        <v>12</v>
      </c>
      <c r="E22" s="11">
        <v>16.166</v>
      </c>
      <c r="F22" s="11">
        <v>26</v>
      </c>
      <c r="G22" s="14">
        <f t="shared" si="13"/>
        <v>17.110666666666667</v>
      </c>
      <c r="H22" s="14">
        <f t="shared" si="14"/>
        <v>18.055333333333333</v>
      </c>
      <c r="I22" s="14">
        <f t="shared" si="15"/>
        <v>2.9347681718020286</v>
      </c>
      <c r="J22" s="70">
        <f t="shared" si="16"/>
        <v>8.6128642222222211</v>
      </c>
      <c r="K22" s="12"/>
      <c r="L22" s="13">
        <f t="shared" si="17"/>
        <v>15</v>
      </c>
      <c r="M22" s="14">
        <f t="shared" si="18"/>
        <v>20.2075</v>
      </c>
      <c r="N22" s="14">
        <f t="shared" si="19"/>
        <v>32.5</v>
      </c>
      <c r="O22" s="15">
        <f t="shared" si="20"/>
        <v>21.388333333333332</v>
      </c>
      <c r="P22" s="14">
        <f t="shared" si="21"/>
        <v>9</v>
      </c>
      <c r="Q22" s="14">
        <f t="shared" si="22"/>
        <v>12.124500000000001</v>
      </c>
      <c r="R22" s="14">
        <f t="shared" si="23"/>
        <v>19.5</v>
      </c>
      <c r="S22" s="16">
        <f t="shared" si="24"/>
        <v>12.833</v>
      </c>
      <c r="T22" s="17"/>
    </row>
    <row r="23" spans="1:20" x14ac:dyDescent="0.2">
      <c r="A23" s="65">
        <f t="shared" si="0"/>
        <v>10</v>
      </c>
      <c r="B23" s="54" t="s">
        <v>136</v>
      </c>
      <c r="C23" s="62" t="s">
        <v>110</v>
      </c>
      <c r="D23" s="11">
        <v>7</v>
      </c>
      <c r="E23" s="11">
        <v>9</v>
      </c>
      <c r="F23" s="11">
        <v>14</v>
      </c>
      <c r="G23" s="14">
        <f t="shared" si="1"/>
        <v>9.5</v>
      </c>
      <c r="H23" s="14">
        <f t="shared" si="2"/>
        <v>10</v>
      </c>
      <c r="I23" s="14">
        <f t="shared" si="3"/>
        <v>1.4719601443879744</v>
      </c>
      <c r="J23" s="70">
        <f t="shared" si="4"/>
        <v>2.1666666666666665</v>
      </c>
      <c r="K23" s="12"/>
      <c r="L23" s="13">
        <f t="shared" si="5"/>
        <v>8.75</v>
      </c>
      <c r="M23" s="14">
        <f t="shared" si="6"/>
        <v>11.25</v>
      </c>
      <c r="N23" s="14">
        <f t="shared" si="7"/>
        <v>17.5</v>
      </c>
      <c r="O23" s="15">
        <f t="shared" si="8"/>
        <v>11.875</v>
      </c>
      <c r="P23" s="14">
        <f t="shared" si="9"/>
        <v>5.25</v>
      </c>
      <c r="Q23" s="14">
        <f t="shared" si="10"/>
        <v>6.75</v>
      </c>
      <c r="R23" s="14">
        <f t="shared" si="11"/>
        <v>10.5</v>
      </c>
      <c r="S23" s="16">
        <f t="shared" si="12"/>
        <v>7.125</v>
      </c>
      <c r="T23" s="17"/>
    </row>
    <row r="24" spans="1:20" x14ac:dyDescent="0.2">
      <c r="A24" s="65">
        <f>ROW() - 13</f>
        <v>11</v>
      </c>
      <c r="B24" s="54"/>
      <c r="C24" s="62"/>
      <c r="D24" s="11"/>
      <c r="E24" s="11"/>
      <c r="F24" s="11"/>
      <c r="G24" s="14">
        <f t="shared" si="1"/>
        <v>0</v>
      </c>
      <c r="H24" s="14">
        <f t="shared" si="2"/>
        <v>0</v>
      </c>
      <c r="I24" s="14">
        <f t="shared" si="3"/>
        <v>0</v>
      </c>
      <c r="J24" s="70">
        <f t="shared" si="4"/>
        <v>0</v>
      </c>
      <c r="K24" s="12"/>
      <c r="L24" s="13">
        <f t="shared" si="5"/>
        <v>0</v>
      </c>
      <c r="M24" s="14">
        <f t="shared" si="6"/>
        <v>0</v>
      </c>
      <c r="N24" s="14">
        <f t="shared" si="7"/>
        <v>0</v>
      </c>
      <c r="O24" s="15">
        <f t="shared" si="8"/>
        <v>0</v>
      </c>
      <c r="P24" s="14">
        <f t="shared" si="9"/>
        <v>0</v>
      </c>
      <c r="Q24" s="14">
        <f t="shared" si="10"/>
        <v>0</v>
      </c>
      <c r="R24" s="14">
        <f t="shared" si="11"/>
        <v>0</v>
      </c>
      <c r="S24" s="16">
        <f t="shared" si="12"/>
        <v>0</v>
      </c>
      <c r="T24" s="17"/>
    </row>
    <row r="25" spans="1:20" x14ac:dyDescent="0.2">
      <c r="A25" s="65">
        <f t="shared" ref="A25:A33" si="25">ROW() - 13</f>
        <v>12</v>
      </c>
      <c r="B25" s="53" t="s">
        <v>177</v>
      </c>
      <c r="C25" s="62"/>
      <c r="D25" s="11"/>
      <c r="E25" s="11"/>
      <c r="F25" s="11"/>
      <c r="G25" s="14">
        <f t="shared" ref="G25:G33" si="26">(D25+F25+(E25*4))/6</f>
        <v>0</v>
      </c>
      <c r="H25" s="14">
        <f t="shared" ref="H25:H33" si="27">(D25+E25+F25)/3</f>
        <v>0</v>
      </c>
      <c r="I25" s="14">
        <f t="shared" ref="I25:I33" si="28">SQRT(J25)</f>
        <v>0</v>
      </c>
      <c r="J25" s="70">
        <f t="shared" ref="J25:J33" si="29">(POWER(F25-D25,2)+(E25-D25)*(E25-F25))/18</f>
        <v>0</v>
      </c>
      <c r="K25" s="12"/>
      <c r="L25" s="13">
        <f t="shared" ref="L25:L33" si="30">D25*Green_Team_Productivity_Multiplier</f>
        <v>0</v>
      </c>
      <c r="M25" s="14">
        <f t="shared" ref="M25:M33" si="31">E25*Green_Team_Productivity_Multiplier</f>
        <v>0</v>
      </c>
      <c r="N25" s="14">
        <f t="shared" ref="N25:N33" si="32">F25*Green_Team_Productivity_Multiplier</f>
        <v>0</v>
      </c>
      <c r="O25" s="15">
        <f t="shared" ref="O25:O33" si="33">(N25+L25+(4*M25))/6</f>
        <v>0</v>
      </c>
      <c r="P25" s="14">
        <f t="shared" ref="P25:P33" si="34">D25*Expert_Team_Productivity_Multiplier</f>
        <v>0</v>
      </c>
      <c r="Q25" s="14">
        <f t="shared" ref="Q25:Q33" si="35">E25*Expert_Team_Productivity_Multiplier</f>
        <v>0</v>
      </c>
      <c r="R25" s="14">
        <f t="shared" ref="R25:R33" si="36">F25*Expert_Team_Productivity_Multiplier</f>
        <v>0</v>
      </c>
      <c r="S25" s="16">
        <f t="shared" ref="S25:S33" si="37">(R25+P25+(4*Q25))/6</f>
        <v>0</v>
      </c>
      <c r="T25" s="17"/>
    </row>
    <row r="26" spans="1:20" x14ac:dyDescent="0.2">
      <c r="A26" s="65">
        <f t="shared" si="25"/>
        <v>13</v>
      </c>
      <c r="B26" s="53" t="s">
        <v>167</v>
      </c>
      <c r="C26" s="62"/>
      <c r="D26" s="11">
        <v>140</v>
      </c>
      <c r="E26" s="11">
        <v>177.5</v>
      </c>
      <c r="F26" s="11">
        <v>280</v>
      </c>
      <c r="G26" s="14">
        <f t="shared" ref="G26" si="38">(D26+F26+(E26*4))/6</f>
        <v>188.33333333333334</v>
      </c>
      <c r="H26" s="14">
        <f t="shared" ref="H26" si="39">(D26+E26+F26)/3</f>
        <v>199.16666666666666</v>
      </c>
      <c r="I26" s="14">
        <f t="shared" ref="I26" si="40">SQRT(J26)</f>
        <v>29.586267460127885</v>
      </c>
      <c r="J26" s="70">
        <f t="shared" ref="J26" si="41">(POWER(F26-D26,2)+(E26-D26)*(E26-F26))/18</f>
        <v>875.34722222222217</v>
      </c>
      <c r="K26" s="12"/>
      <c r="L26" s="13">
        <f t="shared" ref="L26" si="42">D26*Green_Team_Productivity_Multiplier</f>
        <v>175</v>
      </c>
      <c r="M26" s="14">
        <f t="shared" ref="M26" si="43">E26*Green_Team_Productivity_Multiplier</f>
        <v>221.875</v>
      </c>
      <c r="N26" s="14">
        <f t="shared" ref="N26" si="44">F26*Green_Team_Productivity_Multiplier</f>
        <v>350</v>
      </c>
      <c r="O26" s="15">
        <f t="shared" ref="O26" si="45">(N26+L26+(4*M26))/6</f>
        <v>235.41666666666666</v>
      </c>
      <c r="P26" s="14">
        <f t="shared" ref="P26" si="46">D26*Expert_Team_Productivity_Multiplier</f>
        <v>105</v>
      </c>
      <c r="Q26" s="14">
        <f t="shared" ref="Q26" si="47">E26*Expert_Team_Productivity_Multiplier</f>
        <v>133.125</v>
      </c>
      <c r="R26" s="14">
        <f t="shared" ref="R26" si="48">F26*Expert_Team_Productivity_Multiplier</f>
        <v>210</v>
      </c>
      <c r="S26" s="16">
        <f t="shared" ref="S26" si="49">(R26+P26+(4*Q26))/6</f>
        <v>141.25</v>
      </c>
      <c r="T26" s="17"/>
    </row>
    <row r="27" spans="1:20" x14ac:dyDescent="0.2">
      <c r="A27" s="65">
        <f t="shared" si="25"/>
        <v>14</v>
      </c>
      <c r="B27" s="53" t="s">
        <v>168</v>
      </c>
      <c r="C27" s="62"/>
      <c r="D27" s="11">
        <v>80</v>
      </c>
      <c r="E27" s="11">
        <v>96.5</v>
      </c>
      <c r="F27" s="11">
        <v>150</v>
      </c>
      <c r="G27" s="14">
        <f t="shared" si="26"/>
        <v>102.66666666666667</v>
      </c>
      <c r="H27" s="14">
        <f t="shared" si="27"/>
        <v>108.83333333333333</v>
      </c>
      <c r="I27" s="14">
        <f t="shared" si="28"/>
        <v>14.939228747012194</v>
      </c>
      <c r="J27" s="70">
        <f t="shared" si="29"/>
        <v>223.18055555555554</v>
      </c>
      <c r="K27" s="12"/>
      <c r="L27" s="13">
        <f t="shared" si="30"/>
        <v>100</v>
      </c>
      <c r="M27" s="14">
        <f t="shared" si="31"/>
        <v>120.625</v>
      </c>
      <c r="N27" s="14">
        <f t="shared" si="32"/>
        <v>187.5</v>
      </c>
      <c r="O27" s="15">
        <f t="shared" si="33"/>
        <v>128.33333333333334</v>
      </c>
      <c r="P27" s="14">
        <f t="shared" si="34"/>
        <v>60</v>
      </c>
      <c r="Q27" s="14">
        <f t="shared" si="35"/>
        <v>72.375</v>
      </c>
      <c r="R27" s="14">
        <f t="shared" si="36"/>
        <v>112.5</v>
      </c>
      <c r="S27" s="16">
        <f t="shared" si="37"/>
        <v>77</v>
      </c>
      <c r="T27" s="17"/>
    </row>
    <row r="28" spans="1:20" x14ac:dyDescent="0.2">
      <c r="A28" s="65">
        <f t="shared" si="25"/>
        <v>15</v>
      </c>
      <c r="B28" s="53" t="s">
        <v>169</v>
      </c>
      <c r="C28" s="62"/>
      <c r="D28" s="11">
        <v>13</v>
      </c>
      <c r="E28" s="11">
        <v>17.25</v>
      </c>
      <c r="F28" s="11">
        <v>30</v>
      </c>
      <c r="G28" s="14">
        <f t="shared" ref="G28" si="50">(D28+F28+(E28*4))/6</f>
        <v>18.666666666666668</v>
      </c>
      <c r="H28" s="14">
        <f t="shared" ref="H28" si="51">(D28+E28+F28)/3</f>
        <v>20.083333333333332</v>
      </c>
      <c r="I28" s="14">
        <f t="shared" ref="I28" si="52">SQRT(J28)</f>
        <v>3.6118054887948894</v>
      </c>
      <c r="J28" s="70">
        <f t="shared" ref="J28" si="53">(POWER(F28-D28,2)+(E28-D28)*(E28-F28))/18</f>
        <v>13.045138888888889</v>
      </c>
      <c r="K28" s="12"/>
      <c r="L28" s="13">
        <f t="shared" ref="L28" si="54">D28*Green_Team_Productivity_Multiplier</f>
        <v>16.25</v>
      </c>
      <c r="M28" s="14">
        <f t="shared" ref="M28" si="55">E28*Green_Team_Productivity_Multiplier</f>
        <v>21.5625</v>
      </c>
      <c r="N28" s="14">
        <f t="shared" ref="N28" si="56">F28*Green_Team_Productivity_Multiplier</f>
        <v>37.5</v>
      </c>
      <c r="O28" s="15">
        <f t="shared" ref="O28" si="57">(N28+L28+(4*M28))/6</f>
        <v>23.333333333333332</v>
      </c>
      <c r="P28" s="14">
        <f t="shared" ref="P28" si="58">D28*Expert_Team_Productivity_Multiplier</f>
        <v>9.75</v>
      </c>
      <c r="Q28" s="14">
        <f t="shared" ref="Q28" si="59">E28*Expert_Team_Productivity_Multiplier</f>
        <v>12.9375</v>
      </c>
      <c r="R28" s="14">
        <f t="shared" ref="R28" si="60">F28*Expert_Team_Productivity_Multiplier</f>
        <v>22.5</v>
      </c>
      <c r="S28" s="16">
        <f t="shared" ref="S28" si="61">(R28+P28+(4*Q28))/6</f>
        <v>14</v>
      </c>
      <c r="T28" s="17"/>
    </row>
    <row r="29" spans="1:20" x14ac:dyDescent="0.2">
      <c r="A29" s="65">
        <f t="shared" si="25"/>
        <v>16</v>
      </c>
      <c r="B29" s="53" t="s">
        <v>170</v>
      </c>
      <c r="C29" s="62"/>
      <c r="D29" s="11">
        <v>20</v>
      </c>
      <c r="E29" s="11">
        <v>26.75</v>
      </c>
      <c r="F29" s="11">
        <v>50</v>
      </c>
      <c r="G29" s="14">
        <f t="shared" si="26"/>
        <v>29.5</v>
      </c>
      <c r="H29" s="14">
        <f t="shared" si="27"/>
        <v>32.25</v>
      </c>
      <c r="I29" s="14">
        <f t="shared" si="28"/>
        <v>6.4250486379481986</v>
      </c>
      <c r="J29" s="70">
        <f t="shared" si="29"/>
        <v>41.28125</v>
      </c>
      <c r="K29" s="12"/>
      <c r="L29" s="13">
        <f t="shared" si="30"/>
        <v>25</v>
      </c>
      <c r="M29" s="14">
        <f t="shared" si="31"/>
        <v>33.4375</v>
      </c>
      <c r="N29" s="14">
        <f t="shared" si="32"/>
        <v>62.5</v>
      </c>
      <c r="O29" s="15">
        <f t="shared" si="33"/>
        <v>36.875</v>
      </c>
      <c r="P29" s="14">
        <f t="shared" si="34"/>
        <v>15</v>
      </c>
      <c r="Q29" s="14">
        <f t="shared" si="35"/>
        <v>20.0625</v>
      </c>
      <c r="R29" s="14">
        <f t="shared" si="36"/>
        <v>37.5</v>
      </c>
      <c r="S29" s="16">
        <f t="shared" si="37"/>
        <v>22.125</v>
      </c>
      <c r="T29" s="17"/>
    </row>
    <row r="30" spans="1:20" x14ac:dyDescent="0.2">
      <c r="A30" s="65">
        <f t="shared" si="25"/>
        <v>17</v>
      </c>
      <c r="B30" s="53" t="s">
        <v>171</v>
      </c>
      <c r="C30" s="62"/>
      <c r="D30" s="11">
        <v>17</v>
      </c>
      <c r="E30" s="11">
        <v>21</v>
      </c>
      <c r="F30" s="11">
        <v>40</v>
      </c>
      <c r="G30" s="14">
        <f t="shared" ref="G30" si="62">(D30+F30+(E30*4))/6</f>
        <v>23.5</v>
      </c>
      <c r="H30" s="14">
        <f t="shared" ref="H30" si="63">(D30+E30+F30)/3</f>
        <v>26</v>
      </c>
      <c r="I30" s="14">
        <f t="shared" ref="I30" si="64">SQRT(J30)</f>
        <v>5.0166389810974703</v>
      </c>
      <c r="J30" s="70">
        <f t="shared" ref="J30" si="65">(POWER(F30-D30,2)+(E30-D30)*(E30-F30))/18</f>
        <v>25.166666666666668</v>
      </c>
      <c r="K30" s="12"/>
      <c r="L30" s="13">
        <f t="shared" ref="L30" si="66">D30*Green_Team_Productivity_Multiplier</f>
        <v>21.25</v>
      </c>
      <c r="M30" s="14">
        <f t="shared" ref="M30" si="67">E30*Green_Team_Productivity_Multiplier</f>
        <v>26.25</v>
      </c>
      <c r="N30" s="14">
        <f t="shared" ref="N30" si="68">F30*Green_Team_Productivity_Multiplier</f>
        <v>50</v>
      </c>
      <c r="O30" s="15">
        <f t="shared" ref="O30" si="69">(N30+L30+(4*M30))/6</f>
        <v>29.375</v>
      </c>
      <c r="P30" s="14">
        <f t="shared" ref="P30" si="70">D30*Expert_Team_Productivity_Multiplier</f>
        <v>12.75</v>
      </c>
      <c r="Q30" s="14">
        <f t="shared" ref="Q30" si="71">E30*Expert_Team_Productivity_Multiplier</f>
        <v>15.75</v>
      </c>
      <c r="R30" s="14">
        <f t="shared" ref="R30" si="72">F30*Expert_Team_Productivity_Multiplier</f>
        <v>30</v>
      </c>
      <c r="S30" s="16">
        <f t="shared" ref="S30" si="73">(R30+P30+(4*Q30))/6</f>
        <v>17.625</v>
      </c>
      <c r="T30" s="17"/>
    </row>
    <row r="31" spans="1:20" x14ac:dyDescent="0.2">
      <c r="A31" s="65">
        <f t="shared" si="25"/>
        <v>18</v>
      </c>
      <c r="B31" s="53" t="s">
        <v>172</v>
      </c>
      <c r="C31" s="62"/>
      <c r="D31" s="11">
        <v>150</v>
      </c>
      <c r="E31" s="11">
        <v>170.75</v>
      </c>
      <c r="F31" s="11">
        <v>260</v>
      </c>
      <c r="G31" s="14">
        <f t="shared" si="26"/>
        <v>182.16666666666666</v>
      </c>
      <c r="H31" s="14">
        <f t="shared" si="27"/>
        <v>193.58333333333334</v>
      </c>
      <c r="I31" s="14">
        <f t="shared" si="28"/>
        <v>23.860779651041486</v>
      </c>
      <c r="J31" s="70">
        <f t="shared" si="29"/>
        <v>569.33680555555554</v>
      </c>
      <c r="K31" s="12"/>
      <c r="L31" s="13">
        <f t="shared" si="30"/>
        <v>187.5</v>
      </c>
      <c r="M31" s="14">
        <f t="shared" si="31"/>
        <v>213.4375</v>
      </c>
      <c r="N31" s="14">
        <f t="shared" si="32"/>
        <v>325</v>
      </c>
      <c r="O31" s="15">
        <f t="shared" si="33"/>
        <v>227.70833333333334</v>
      </c>
      <c r="P31" s="14">
        <f t="shared" si="34"/>
        <v>112.5</v>
      </c>
      <c r="Q31" s="14">
        <f t="shared" si="35"/>
        <v>128.0625</v>
      </c>
      <c r="R31" s="14">
        <f t="shared" si="36"/>
        <v>195</v>
      </c>
      <c r="S31" s="16">
        <f t="shared" si="37"/>
        <v>136.625</v>
      </c>
      <c r="T31" s="17"/>
    </row>
    <row r="32" spans="1:20" x14ac:dyDescent="0.2">
      <c r="A32" s="65">
        <f>ROW() - 13</f>
        <v>19</v>
      </c>
      <c r="B32" s="54" t="s">
        <v>175</v>
      </c>
      <c r="C32" s="62"/>
      <c r="D32" s="11">
        <v>113</v>
      </c>
      <c r="E32" s="11">
        <v>127.45</v>
      </c>
      <c r="F32" s="11">
        <v>200</v>
      </c>
      <c r="G32" s="14">
        <f t="shared" ref="G32" si="74">(D32+F32+(E32*4))/6</f>
        <v>137.13333333333333</v>
      </c>
      <c r="H32" s="14">
        <f t="shared" ref="H32" si="75">(D32+E32+F32)/3</f>
        <v>146.81666666666666</v>
      </c>
      <c r="I32" s="14">
        <f t="shared" ref="I32" si="76">SQRT(J32)</f>
        <v>19.033088877589527</v>
      </c>
      <c r="J32" s="70">
        <f t="shared" ref="J32" si="77">(POWER(F32-D32,2)+(E32-D32)*(E32-F32))/18</f>
        <v>362.25847222222222</v>
      </c>
      <c r="K32" s="12"/>
      <c r="L32" s="13">
        <f t="shared" ref="L32" si="78">D32*Green_Team_Productivity_Multiplier</f>
        <v>141.25</v>
      </c>
      <c r="M32" s="14">
        <f t="shared" ref="M32" si="79">E32*Green_Team_Productivity_Multiplier</f>
        <v>159.3125</v>
      </c>
      <c r="N32" s="14">
        <f t="shared" ref="N32" si="80">F32*Green_Team_Productivity_Multiplier</f>
        <v>250</v>
      </c>
      <c r="O32" s="15">
        <f t="shared" ref="O32" si="81">(N32+L32+(4*M32))/6</f>
        <v>171.41666666666666</v>
      </c>
      <c r="P32" s="14">
        <f t="shared" ref="P32" si="82">D32*Expert_Team_Productivity_Multiplier</f>
        <v>84.75</v>
      </c>
      <c r="Q32" s="14">
        <f t="shared" ref="Q32" si="83">E32*Expert_Team_Productivity_Multiplier</f>
        <v>95.587500000000006</v>
      </c>
      <c r="R32" s="14">
        <f t="shared" ref="R32" si="84">F32*Expert_Team_Productivity_Multiplier</f>
        <v>150</v>
      </c>
      <c r="S32" s="16">
        <f t="shared" ref="S32" si="85">(R32+P32+(4*Q32))/6</f>
        <v>102.85000000000001</v>
      </c>
      <c r="T32" s="17"/>
    </row>
    <row r="33" spans="1:20" x14ac:dyDescent="0.2">
      <c r="A33" s="65">
        <f t="shared" si="25"/>
        <v>20</v>
      </c>
      <c r="B33" s="53"/>
      <c r="C33" s="62"/>
      <c r="D33" s="11"/>
      <c r="E33" s="11"/>
      <c r="F33" s="11"/>
      <c r="G33" s="14">
        <f t="shared" si="26"/>
        <v>0</v>
      </c>
      <c r="H33" s="14">
        <f t="shared" si="27"/>
        <v>0</v>
      </c>
      <c r="I33" s="14">
        <f t="shared" si="28"/>
        <v>0</v>
      </c>
      <c r="J33" s="70">
        <f t="shared" si="29"/>
        <v>0</v>
      </c>
      <c r="K33" s="12"/>
      <c r="L33" s="13">
        <f t="shared" si="30"/>
        <v>0</v>
      </c>
      <c r="M33" s="14">
        <f t="shared" si="31"/>
        <v>0</v>
      </c>
      <c r="N33" s="14">
        <f t="shared" si="32"/>
        <v>0</v>
      </c>
      <c r="O33" s="15">
        <f t="shared" si="33"/>
        <v>0</v>
      </c>
      <c r="P33" s="14">
        <f t="shared" si="34"/>
        <v>0</v>
      </c>
      <c r="Q33" s="14">
        <f t="shared" si="35"/>
        <v>0</v>
      </c>
      <c r="R33" s="14">
        <f t="shared" si="36"/>
        <v>0</v>
      </c>
      <c r="S33" s="16">
        <f t="shared" si="37"/>
        <v>0</v>
      </c>
      <c r="T33" s="17"/>
    </row>
    <row r="34" spans="1:20" x14ac:dyDescent="0.2">
      <c r="A34" s="65">
        <f t="shared" si="0"/>
        <v>21</v>
      </c>
      <c r="B34" s="101" t="s">
        <v>151</v>
      </c>
      <c r="C34" s="62"/>
      <c r="D34" s="11"/>
      <c r="E34" s="11"/>
      <c r="F34" s="11"/>
      <c r="G34" s="14">
        <f t="shared" si="1"/>
        <v>0</v>
      </c>
      <c r="H34" s="14">
        <f t="shared" si="2"/>
        <v>0</v>
      </c>
      <c r="I34" s="14">
        <f t="shared" si="3"/>
        <v>0</v>
      </c>
      <c r="J34" s="70">
        <f t="shared" si="4"/>
        <v>0</v>
      </c>
      <c r="K34" s="12"/>
      <c r="L34" s="13">
        <f t="shared" si="5"/>
        <v>0</v>
      </c>
      <c r="M34" s="14">
        <f t="shared" si="6"/>
        <v>0</v>
      </c>
      <c r="N34" s="14">
        <f t="shared" si="7"/>
        <v>0</v>
      </c>
      <c r="O34" s="15">
        <f t="shared" si="8"/>
        <v>0</v>
      </c>
      <c r="P34" s="14">
        <f t="shared" si="9"/>
        <v>0</v>
      </c>
      <c r="Q34" s="14">
        <f t="shared" si="10"/>
        <v>0</v>
      </c>
      <c r="R34" s="14">
        <f t="shared" si="11"/>
        <v>0</v>
      </c>
      <c r="S34" s="16">
        <f t="shared" si="12"/>
        <v>0</v>
      </c>
      <c r="T34" s="17"/>
    </row>
    <row r="35" spans="1:20" x14ac:dyDescent="0.2">
      <c r="A35" s="65">
        <f t="shared" si="0"/>
        <v>22</v>
      </c>
      <c r="B35" s="53" t="s">
        <v>152</v>
      </c>
      <c r="C35" s="62" t="s">
        <v>110</v>
      </c>
      <c r="D35" s="11">
        <v>0</v>
      </c>
      <c r="E35" s="11">
        <v>0</v>
      </c>
      <c r="F35" s="11">
        <v>0</v>
      </c>
      <c r="G35" s="14">
        <f t="shared" si="1"/>
        <v>0</v>
      </c>
      <c r="H35" s="14">
        <f t="shared" si="2"/>
        <v>0</v>
      </c>
      <c r="I35" s="14">
        <f t="shared" si="3"/>
        <v>0</v>
      </c>
      <c r="J35" s="70">
        <f t="shared" si="4"/>
        <v>0</v>
      </c>
      <c r="K35" s="12"/>
      <c r="L35" s="13">
        <f t="shared" si="5"/>
        <v>0</v>
      </c>
      <c r="M35" s="14">
        <f t="shared" si="6"/>
        <v>0</v>
      </c>
      <c r="N35" s="14">
        <f t="shared" si="7"/>
        <v>0</v>
      </c>
      <c r="O35" s="15">
        <f t="shared" si="8"/>
        <v>0</v>
      </c>
      <c r="P35" s="14">
        <f t="shared" si="9"/>
        <v>0</v>
      </c>
      <c r="Q35" s="14">
        <f t="shared" si="10"/>
        <v>0</v>
      </c>
      <c r="R35" s="14">
        <f t="shared" si="11"/>
        <v>0</v>
      </c>
      <c r="S35" s="16">
        <f t="shared" si="12"/>
        <v>0</v>
      </c>
      <c r="T35" s="17"/>
    </row>
    <row r="36" spans="1:20" x14ac:dyDescent="0.2">
      <c r="A36" s="65">
        <f t="shared" si="0"/>
        <v>23</v>
      </c>
      <c r="B36" s="53" t="s">
        <v>153</v>
      </c>
      <c r="C36" s="62" t="s">
        <v>110</v>
      </c>
      <c r="D36" s="11">
        <v>0</v>
      </c>
      <c r="E36" s="11">
        <v>0</v>
      </c>
      <c r="F36" s="11">
        <v>0</v>
      </c>
      <c r="G36" s="14">
        <f t="shared" si="1"/>
        <v>0</v>
      </c>
      <c r="H36" s="14">
        <f t="shared" si="2"/>
        <v>0</v>
      </c>
      <c r="I36" s="14">
        <f t="shared" si="3"/>
        <v>0</v>
      </c>
      <c r="J36" s="70">
        <f t="shared" si="4"/>
        <v>0</v>
      </c>
      <c r="K36" s="12"/>
      <c r="L36" s="13">
        <f t="shared" si="5"/>
        <v>0</v>
      </c>
      <c r="M36" s="14">
        <f t="shared" si="6"/>
        <v>0</v>
      </c>
      <c r="N36" s="14">
        <f t="shared" si="7"/>
        <v>0</v>
      </c>
      <c r="O36" s="15">
        <f t="shared" si="8"/>
        <v>0</v>
      </c>
      <c r="P36" s="14">
        <f t="shared" si="9"/>
        <v>0</v>
      </c>
      <c r="Q36" s="14">
        <f t="shared" si="10"/>
        <v>0</v>
      </c>
      <c r="R36" s="14">
        <f t="shared" si="11"/>
        <v>0</v>
      </c>
      <c r="S36" s="16">
        <f t="shared" si="12"/>
        <v>0</v>
      </c>
      <c r="T36" s="17"/>
    </row>
    <row r="37" spans="1:20" x14ac:dyDescent="0.2">
      <c r="A37" s="65">
        <f t="shared" ref="A37:A44" si="86">IF(B37&lt;&gt;"",ROW() - 13,"")</f>
        <v>24</v>
      </c>
      <c r="B37" s="54" t="s">
        <v>136</v>
      </c>
      <c r="C37" s="62" t="s">
        <v>110</v>
      </c>
      <c r="D37" s="11">
        <v>0</v>
      </c>
      <c r="E37" s="11">
        <v>0</v>
      </c>
      <c r="F37" s="11">
        <v>0</v>
      </c>
      <c r="G37" s="14">
        <f t="shared" si="1"/>
        <v>0</v>
      </c>
      <c r="H37" s="14">
        <f t="shared" si="2"/>
        <v>0</v>
      </c>
      <c r="I37" s="14">
        <f t="shared" si="3"/>
        <v>0</v>
      </c>
      <c r="J37" s="70">
        <f t="shared" si="4"/>
        <v>0</v>
      </c>
      <c r="K37" s="12"/>
      <c r="L37" s="13">
        <f t="shared" si="5"/>
        <v>0</v>
      </c>
      <c r="M37" s="14">
        <f t="shared" si="6"/>
        <v>0</v>
      </c>
      <c r="N37" s="14">
        <f t="shared" si="7"/>
        <v>0</v>
      </c>
      <c r="O37" s="15">
        <f t="shared" si="8"/>
        <v>0</v>
      </c>
      <c r="P37" s="14">
        <f t="shared" si="9"/>
        <v>0</v>
      </c>
      <c r="Q37" s="14">
        <f t="shared" si="10"/>
        <v>0</v>
      </c>
      <c r="R37" s="14">
        <f t="shared" si="11"/>
        <v>0</v>
      </c>
      <c r="S37" s="16">
        <f t="shared" si="12"/>
        <v>0</v>
      </c>
      <c r="T37" s="17"/>
    </row>
    <row r="38" spans="1:20" x14ac:dyDescent="0.2">
      <c r="A38" s="65" t="str">
        <f t="shared" si="86"/>
        <v/>
      </c>
      <c r="B38" s="67"/>
      <c r="C38" s="62"/>
      <c r="D38" s="11"/>
      <c r="E38" s="11"/>
      <c r="F38" s="11"/>
      <c r="G38" s="14">
        <f t="shared" si="1"/>
        <v>0</v>
      </c>
      <c r="H38" s="14">
        <f t="shared" si="2"/>
        <v>0</v>
      </c>
      <c r="I38" s="14">
        <f t="shared" si="3"/>
        <v>0</v>
      </c>
      <c r="J38" s="70">
        <f t="shared" si="4"/>
        <v>0</v>
      </c>
      <c r="K38" s="12"/>
      <c r="L38" s="13">
        <f t="shared" si="5"/>
        <v>0</v>
      </c>
      <c r="M38" s="14">
        <f t="shared" si="6"/>
        <v>0</v>
      </c>
      <c r="N38" s="14">
        <f t="shared" si="7"/>
        <v>0</v>
      </c>
      <c r="O38" s="15">
        <f t="shared" si="8"/>
        <v>0</v>
      </c>
      <c r="P38" s="14">
        <f t="shared" si="9"/>
        <v>0</v>
      </c>
      <c r="Q38" s="14">
        <f t="shared" si="10"/>
        <v>0</v>
      </c>
      <c r="R38" s="14">
        <f t="shared" si="11"/>
        <v>0</v>
      </c>
      <c r="S38" s="16">
        <f t="shared" si="12"/>
        <v>0</v>
      </c>
      <c r="T38" s="17"/>
    </row>
    <row r="39" spans="1:20" x14ac:dyDescent="0.2">
      <c r="A39" s="65">
        <f t="shared" si="86"/>
        <v>26</v>
      </c>
      <c r="B39" s="101" t="s">
        <v>154</v>
      </c>
      <c r="C39" s="62"/>
      <c r="D39" s="11"/>
      <c r="E39" s="11"/>
      <c r="F39" s="11"/>
      <c r="G39" s="14">
        <f t="shared" si="1"/>
        <v>0</v>
      </c>
      <c r="H39" s="14">
        <f t="shared" si="2"/>
        <v>0</v>
      </c>
      <c r="I39" s="14">
        <f t="shared" si="3"/>
        <v>0</v>
      </c>
      <c r="J39" s="70">
        <f t="shared" si="4"/>
        <v>0</v>
      </c>
      <c r="K39" s="12"/>
      <c r="L39" s="13">
        <f t="shared" si="5"/>
        <v>0</v>
      </c>
      <c r="M39" s="14">
        <f t="shared" si="6"/>
        <v>0</v>
      </c>
      <c r="N39" s="14">
        <f t="shared" si="7"/>
        <v>0</v>
      </c>
      <c r="O39" s="15">
        <f t="shared" si="8"/>
        <v>0</v>
      </c>
      <c r="P39" s="14">
        <f t="shared" si="9"/>
        <v>0</v>
      </c>
      <c r="Q39" s="14">
        <f t="shared" si="10"/>
        <v>0</v>
      </c>
      <c r="R39" s="14">
        <f t="shared" si="11"/>
        <v>0</v>
      </c>
      <c r="S39" s="16">
        <f t="shared" si="12"/>
        <v>0</v>
      </c>
      <c r="T39" s="17"/>
    </row>
    <row r="40" spans="1:20" x14ac:dyDescent="0.2">
      <c r="A40" s="65">
        <f t="shared" si="86"/>
        <v>27</v>
      </c>
      <c r="B40" s="53" t="s">
        <v>152</v>
      </c>
      <c r="C40" s="62" t="s">
        <v>110</v>
      </c>
      <c r="D40" s="11">
        <v>0</v>
      </c>
      <c r="E40" s="11">
        <v>0</v>
      </c>
      <c r="F40" s="11">
        <v>0</v>
      </c>
      <c r="G40" s="14">
        <f>(D40+F40+(E40*4))/6</f>
        <v>0</v>
      </c>
      <c r="H40" s="14">
        <f>(D40+E40+F40)/3</f>
        <v>0</v>
      </c>
      <c r="I40" s="14">
        <f>SQRT(J40)</f>
        <v>0</v>
      </c>
      <c r="J40" s="70">
        <f>(POWER(F40-D40,2)+(E40-D40)*(E40-F40))/18</f>
        <v>0</v>
      </c>
      <c r="K40" s="12"/>
      <c r="L40" s="13">
        <f>D40*Green_Team_Productivity_Multiplier</f>
        <v>0</v>
      </c>
      <c r="M40" s="14">
        <f>E40*Green_Team_Productivity_Multiplier</f>
        <v>0</v>
      </c>
      <c r="N40" s="14">
        <f>F40*Green_Team_Productivity_Multiplier</f>
        <v>0</v>
      </c>
      <c r="O40" s="15">
        <f>(N40+L40+(4*M40))/6</f>
        <v>0</v>
      </c>
      <c r="P40" s="14">
        <f>D40*Expert_Team_Productivity_Multiplier</f>
        <v>0</v>
      </c>
      <c r="Q40" s="14">
        <f>E40*Expert_Team_Productivity_Multiplier</f>
        <v>0</v>
      </c>
      <c r="R40" s="14">
        <f>F40*Expert_Team_Productivity_Multiplier</f>
        <v>0</v>
      </c>
      <c r="S40" s="16">
        <f>(R40+P40+(4*Q40))/6</f>
        <v>0</v>
      </c>
      <c r="T40" s="17"/>
    </row>
    <row r="41" spans="1:20" x14ac:dyDescent="0.2">
      <c r="A41" s="65">
        <f t="shared" si="86"/>
        <v>28</v>
      </c>
      <c r="B41" s="53" t="s">
        <v>153</v>
      </c>
      <c r="C41" s="62" t="s">
        <v>110</v>
      </c>
      <c r="D41" s="11">
        <v>0</v>
      </c>
      <c r="E41" s="11">
        <v>0</v>
      </c>
      <c r="F41" s="11">
        <v>0</v>
      </c>
      <c r="G41" s="14">
        <f t="shared" si="1"/>
        <v>0</v>
      </c>
      <c r="H41" s="14">
        <f t="shared" si="2"/>
        <v>0</v>
      </c>
      <c r="I41" s="14">
        <f t="shared" si="3"/>
        <v>0</v>
      </c>
      <c r="J41" s="70">
        <f t="shared" si="4"/>
        <v>0</v>
      </c>
      <c r="K41" s="12"/>
      <c r="L41" s="13">
        <f t="shared" si="5"/>
        <v>0</v>
      </c>
      <c r="M41" s="14">
        <f t="shared" si="6"/>
        <v>0</v>
      </c>
      <c r="N41" s="14">
        <f t="shared" si="7"/>
        <v>0</v>
      </c>
      <c r="O41" s="15">
        <f t="shared" si="8"/>
        <v>0</v>
      </c>
      <c r="P41" s="14">
        <f t="shared" si="9"/>
        <v>0</v>
      </c>
      <c r="Q41" s="14">
        <f t="shared" si="10"/>
        <v>0</v>
      </c>
      <c r="R41" s="14">
        <f t="shared" si="11"/>
        <v>0</v>
      </c>
      <c r="S41" s="16">
        <f t="shared" si="12"/>
        <v>0</v>
      </c>
      <c r="T41" s="17"/>
    </row>
    <row r="42" spans="1:20" x14ac:dyDescent="0.2">
      <c r="A42" s="65">
        <f t="shared" si="86"/>
        <v>29</v>
      </c>
      <c r="B42" s="54" t="s">
        <v>136</v>
      </c>
      <c r="C42" s="62" t="s">
        <v>110</v>
      </c>
      <c r="D42" s="11">
        <v>0</v>
      </c>
      <c r="E42" s="11">
        <v>0</v>
      </c>
      <c r="F42" s="11">
        <v>0</v>
      </c>
      <c r="G42" s="14">
        <f t="shared" si="1"/>
        <v>0</v>
      </c>
      <c r="H42" s="14">
        <f t="shared" si="2"/>
        <v>0</v>
      </c>
      <c r="I42" s="14">
        <f t="shared" si="3"/>
        <v>0</v>
      </c>
      <c r="J42" s="70">
        <f t="shared" si="4"/>
        <v>0</v>
      </c>
      <c r="K42" s="12"/>
      <c r="L42" s="13">
        <f t="shared" si="5"/>
        <v>0</v>
      </c>
      <c r="M42" s="14">
        <f t="shared" si="6"/>
        <v>0</v>
      </c>
      <c r="N42" s="14">
        <f t="shared" si="7"/>
        <v>0</v>
      </c>
      <c r="O42" s="15">
        <f t="shared" si="8"/>
        <v>0</v>
      </c>
      <c r="P42" s="14">
        <f t="shared" si="9"/>
        <v>0</v>
      </c>
      <c r="Q42" s="14">
        <f t="shared" si="10"/>
        <v>0</v>
      </c>
      <c r="R42" s="14">
        <f t="shared" si="11"/>
        <v>0</v>
      </c>
      <c r="S42" s="16">
        <f t="shared" si="12"/>
        <v>0</v>
      </c>
      <c r="T42" s="17"/>
    </row>
    <row r="43" spans="1:20" x14ac:dyDescent="0.2">
      <c r="A43" s="65" t="str">
        <f t="shared" si="86"/>
        <v/>
      </c>
      <c r="B43" s="67"/>
      <c r="C43" s="62"/>
      <c r="D43" s="11"/>
      <c r="E43" s="11"/>
      <c r="F43" s="11"/>
      <c r="G43" s="14">
        <f t="shared" si="1"/>
        <v>0</v>
      </c>
      <c r="H43" s="14">
        <f t="shared" si="2"/>
        <v>0</v>
      </c>
      <c r="I43" s="14">
        <f t="shared" si="3"/>
        <v>0</v>
      </c>
      <c r="J43" s="70">
        <f t="shared" si="4"/>
        <v>0</v>
      </c>
      <c r="K43" s="12"/>
      <c r="L43" s="13">
        <f t="shared" si="5"/>
        <v>0</v>
      </c>
      <c r="M43" s="14">
        <f t="shared" si="6"/>
        <v>0</v>
      </c>
      <c r="N43" s="14">
        <f t="shared" si="7"/>
        <v>0</v>
      </c>
      <c r="O43" s="15">
        <f t="shared" si="8"/>
        <v>0</v>
      </c>
      <c r="P43" s="14">
        <f t="shared" si="9"/>
        <v>0</v>
      </c>
      <c r="Q43" s="14">
        <f t="shared" si="10"/>
        <v>0</v>
      </c>
      <c r="R43" s="14">
        <f t="shared" si="11"/>
        <v>0</v>
      </c>
      <c r="S43" s="16">
        <f t="shared" si="12"/>
        <v>0</v>
      </c>
      <c r="T43" s="17"/>
    </row>
    <row r="44" spans="1:20" x14ac:dyDescent="0.2">
      <c r="A44" s="65" t="str">
        <f t="shared" si="86"/>
        <v/>
      </c>
      <c r="B44" s="67"/>
      <c r="C44" s="62"/>
      <c r="D44" s="11"/>
      <c r="E44" s="11"/>
      <c r="F44" s="11"/>
      <c r="G44" s="14">
        <f t="shared" si="1"/>
        <v>0</v>
      </c>
      <c r="H44" s="14">
        <f t="shared" si="2"/>
        <v>0</v>
      </c>
      <c r="I44" s="14">
        <f t="shared" si="3"/>
        <v>0</v>
      </c>
      <c r="J44" s="70">
        <f t="shared" si="4"/>
        <v>0</v>
      </c>
      <c r="K44" s="12"/>
      <c r="L44" s="13">
        <f t="shared" si="5"/>
        <v>0</v>
      </c>
      <c r="M44" s="14">
        <f t="shared" si="6"/>
        <v>0</v>
      </c>
      <c r="N44" s="14">
        <f t="shared" si="7"/>
        <v>0</v>
      </c>
      <c r="O44" s="15">
        <f t="shared" si="8"/>
        <v>0</v>
      </c>
      <c r="P44" s="14">
        <f t="shared" si="9"/>
        <v>0</v>
      </c>
      <c r="Q44" s="14">
        <f t="shared" si="10"/>
        <v>0</v>
      </c>
      <c r="R44" s="14">
        <f t="shared" si="11"/>
        <v>0</v>
      </c>
      <c r="S44" s="16">
        <f t="shared" si="12"/>
        <v>0</v>
      </c>
      <c r="T44" s="17"/>
    </row>
    <row r="45" spans="1:20" x14ac:dyDescent="0.2">
      <c r="A45" s="135" t="s">
        <v>77</v>
      </c>
      <c r="B45" s="136"/>
      <c r="C45" s="136"/>
      <c r="D45" s="136"/>
      <c r="E45" s="136"/>
      <c r="F45" s="137"/>
      <c r="G45" s="18">
        <f xml:space="preserve"> SUM(G14:G44)</f>
        <v>750.649</v>
      </c>
      <c r="H45" s="18">
        <f>SUM(H14:H44)</f>
        <v>799.36200000000008</v>
      </c>
      <c r="I45" s="18">
        <f>SQRT(J45)</f>
        <v>46.204421238665027</v>
      </c>
      <c r="J45" s="18">
        <f>SUM(J14:J44)</f>
        <v>2134.8485420000002</v>
      </c>
      <c r="K45" s="19"/>
      <c r="L45" s="147" t="s">
        <v>36</v>
      </c>
      <c r="M45" s="148"/>
      <c r="N45" s="149"/>
      <c r="O45" s="20">
        <f>SUM(O14:O44)</f>
        <v>938.31124999999997</v>
      </c>
      <c r="P45" s="147" t="s">
        <v>37</v>
      </c>
      <c r="Q45" s="148"/>
      <c r="R45" s="149"/>
      <c r="S45" s="20">
        <f>SUM(S14:S44)</f>
        <v>562.98675000000003</v>
      </c>
    </row>
    <row r="46" spans="1:20" x14ac:dyDescent="0.2">
      <c r="G46" s="21"/>
      <c r="H46" s="21"/>
      <c r="I46" s="21"/>
      <c r="K46" s="22"/>
      <c r="L46" s="10"/>
      <c r="M46" s="10"/>
      <c r="N46" s="10"/>
    </row>
    <row r="47" spans="1:20" x14ac:dyDescent="0.2">
      <c r="G47" s="21"/>
      <c r="H47" s="21"/>
      <c r="I47" s="21"/>
      <c r="K47" s="22"/>
      <c r="L47" s="10"/>
      <c r="M47" s="10"/>
      <c r="N47" s="10"/>
    </row>
  </sheetData>
  <sheetProtection password="CD32" sheet="1" objects="1" scenarios="1"/>
  <sortState ref="AZ16:BC22">
    <sortCondition descending="1" ref="BC16:BC22"/>
    <sortCondition ref="AZ16:AZ22"/>
  </sortState>
  <mergeCells count="35">
    <mergeCell ref="A45:F45"/>
    <mergeCell ref="P11:S11"/>
    <mergeCell ref="O12:O13"/>
    <mergeCell ref="L12:L13"/>
    <mergeCell ref="M12:M13"/>
    <mergeCell ref="S12:S13"/>
    <mergeCell ref="P12:P13"/>
    <mergeCell ref="R12:R13"/>
    <mergeCell ref="C11:C13"/>
    <mergeCell ref="N12:N13"/>
    <mergeCell ref="L45:N45"/>
    <mergeCell ref="P45:R45"/>
    <mergeCell ref="L11:O11"/>
    <mergeCell ref="Q12:Q13"/>
    <mergeCell ref="A11:A13"/>
    <mergeCell ref="B11:B13"/>
    <mergeCell ref="G12:J12"/>
    <mergeCell ref="D12:D13"/>
    <mergeCell ref="F12:F13"/>
    <mergeCell ref="E12:E13"/>
    <mergeCell ref="D11:J11"/>
    <mergeCell ref="M8:O8"/>
    <mergeCell ref="M7:O7"/>
    <mergeCell ref="F8:I8"/>
    <mergeCell ref="F7:I7"/>
    <mergeCell ref="P10:S10"/>
    <mergeCell ref="L10:O10"/>
    <mergeCell ref="E5:F5"/>
    <mergeCell ref="E4:F4"/>
    <mergeCell ref="G5:J5"/>
    <mergeCell ref="G4:J4"/>
    <mergeCell ref="W2:X2"/>
    <mergeCell ref="E3:F3"/>
    <mergeCell ref="G3:J3"/>
    <mergeCell ref="T3:Y3"/>
  </mergeCells>
  <phoneticPr fontId="0" type="noConversion"/>
  <conditionalFormatting sqref="E17:E20 E34 E14:E15 E38 E43:E44">
    <cfRule type="cellIs" dxfId="109" priority="192" stopIfTrue="1" operator="greaterThan">
      <formula>F14</formula>
    </cfRule>
  </conditionalFormatting>
  <conditionalFormatting sqref="D17:D20 D34 D14:D15 D38 D43:D44">
    <cfRule type="cellIs" dxfId="108" priority="186" stopIfTrue="1" operator="greaterThan">
      <formula>$E14*0.9</formula>
    </cfRule>
    <cfRule type="cellIs" dxfId="107" priority="187" stopIfTrue="1" operator="lessThan">
      <formula>$E14*0.7</formula>
    </cfRule>
  </conditionalFormatting>
  <conditionalFormatting sqref="F17:F20 F34 F14:F15 F38 F43:F44">
    <cfRule type="cellIs" dxfId="106" priority="180" stopIfTrue="1" operator="greaterThan">
      <formula>$E14*4</formula>
    </cfRule>
    <cfRule type="cellIs" dxfId="105" priority="181" stopIfTrue="1" operator="lessThan">
      <formula>$E14*1.5</formula>
    </cfRule>
  </conditionalFormatting>
  <conditionalFormatting sqref="E16">
    <cfRule type="cellIs" dxfId="104" priority="179" stopIfTrue="1" operator="greaterThan">
      <formula>F16</formula>
    </cfRule>
  </conditionalFormatting>
  <conditionalFormatting sqref="D16">
    <cfRule type="cellIs" dxfId="103" priority="177" stopIfTrue="1" operator="greaterThan">
      <formula>$E16*0.9</formula>
    </cfRule>
    <cfRule type="cellIs" dxfId="102" priority="178" stopIfTrue="1" operator="lessThan">
      <formula>$E16*0.7</formula>
    </cfRule>
  </conditionalFormatting>
  <conditionalFormatting sqref="F16">
    <cfRule type="cellIs" dxfId="101" priority="175" stopIfTrue="1" operator="greaterThan">
      <formula>$E16*4</formula>
    </cfRule>
    <cfRule type="cellIs" dxfId="100" priority="176" stopIfTrue="1" operator="lessThan">
      <formula>$E16*1.5</formula>
    </cfRule>
  </conditionalFormatting>
  <conditionalFormatting sqref="E17:E20">
    <cfRule type="cellIs" dxfId="99" priority="164" stopIfTrue="1" operator="greaterThan">
      <formula>F17</formula>
    </cfRule>
  </conditionalFormatting>
  <conditionalFormatting sqref="D17:D20">
    <cfRule type="cellIs" dxfId="98" priority="162" stopIfTrue="1" operator="greaterThan">
      <formula>$E17*0.9</formula>
    </cfRule>
    <cfRule type="cellIs" dxfId="97" priority="163" stopIfTrue="1" operator="lessThan">
      <formula>$E17*0.7</formula>
    </cfRule>
  </conditionalFormatting>
  <conditionalFormatting sqref="F17:F20">
    <cfRule type="cellIs" dxfId="96" priority="160" stopIfTrue="1" operator="greaterThan">
      <formula>$E17*4</formula>
    </cfRule>
    <cfRule type="cellIs" dxfId="95" priority="161" stopIfTrue="1" operator="lessThan">
      <formula>$E17*1.5</formula>
    </cfRule>
  </conditionalFormatting>
  <conditionalFormatting sqref="E35">
    <cfRule type="cellIs" dxfId="94" priority="154" stopIfTrue="1" operator="greaterThan">
      <formula>F35</formula>
    </cfRule>
  </conditionalFormatting>
  <conditionalFormatting sqref="D35">
    <cfRule type="cellIs" dxfId="93" priority="152" stopIfTrue="1" operator="greaterThan">
      <formula>$E35*0.9</formula>
    </cfRule>
    <cfRule type="cellIs" dxfId="92" priority="153" stopIfTrue="1" operator="lessThan">
      <formula>$E35*0.7</formula>
    </cfRule>
  </conditionalFormatting>
  <conditionalFormatting sqref="F35">
    <cfRule type="cellIs" dxfId="91" priority="150" stopIfTrue="1" operator="greaterThan">
      <formula>$E35*4</formula>
    </cfRule>
    <cfRule type="cellIs" dxfId="90" priority="151" stopIfTrue="1" operator="lessThan">
      <formula>$E35*1.5</formula>
    </cfRule>
  </conditionalFormatting>
  <conditionalFormatting sqref="E35">
    <cfRule type="cellIs" dxfId="89" priority="139" stopIfTrue="1" operator="greaterThan">
      <formula>F35</formula>
    </cfRule>
  </conditionalFormatting>
  <conditionalFormatting sqref="D35">
    <cfRule type="cellIs" dxfId="88" priority="137" stopIfTrue="1" operator="greaterThan">
      <formula>$E35*0.9</formula>
    </cfRule>
    <cfRule type="cellIs" dxfId="87" priority="138" stopIfTrue="1" operator="lessThan">
      <formula>$E35*0.7</formula>
    </cfRule>
  </conditionalFormatting>
  <conditionalFormatting sqref="F35">
    <cfRule type="cellIs" dxfId="86" priority="135" stopIfTrue="1" operator="greaterThan">
      <formula>$E35*4</formula>
    </cfRule>
    <cfRule type="cellIs" dxfId="85" priority="136" stopIfTrue="1" operator="lessThan">
      <formula>$E35*1.5</formula>
    </cfRule>
  </conditionalFormatting>
  <conditionalFormatting sqref="E21">
    <cfRule type="cellIs" dxfId="84" priority="129" stopIfTrue="1" operator="greaterThan">
      <formula>F21</formula>
    </cfRule>
  </conditionalFormatting>
  <conditionalFormatting sqref="F21">
    <cfRule type="cellIs" dxfId="83" priority="125" stopIfTrue="1" operator="greaterThan">
      <formula>$E21*4</formula>
    </cfRule>
    <cfRule type="cellIs" dxfId="82" priority="126" stopIfTrue="1" operator="lessThan">
      <formula>$E21*1.5</formula>
    </cfRule>
  </conditionalFormatting>
  <conditionalFormatting sqref="E21">
    <cfRule type="cellIs" dxfId="81" priority="124" stopIfTrue="1" operator="greaterThan">
      <formula>F21</formula>
    </cfRule>
  </conditionalFormatting>
  <conditionalFormatting sqref="D21">
    <cfRule type="cellIs" dxfId="80" priority="98" stopIfTrue="1" operator="greaterThan">
      <formula>$E21*0.9</formula>
    </cfRule>
    <cfRule type="cellIs" dxfId="79" priority="99" stopIfTrue="1" operator="lessThan">
      <formula>$E21*0.7</formula>
    </cfRule>
  </conditionalFormatting>
  <conditionalFormatting sqref="F21">
    <cfRule type="cellIs" dxfId="78" priority="120" stopIfTrue="1" operator="greaterThan">
      <formula>$E21*4</formula>
    </cfRule>
    <cfRule type="cellIs" dxfId="77" priority="121" stopIfTrue="1" operator="lessThan">
      <formula>$E21*1.5</formula>
    </cfRule>
  </conditionalFormatting>
  <conditionalFormatting sqref="E22">
    <cfRule type="cellIs" dxfId="76" priority="119" stopIfTrue="1" operator="greaterThan">
      <formula>F22</formula>
    </cfRule>
  </conditionalFormatting>
  <conditionalFormatting sqref="D22">
    <cfRule type="cellIs" dxfId="75" priority="117" stopIfTrue="1" operator="greaterThan">
      <formula>$E22*0.9</formula>
    </cfRule>
    <cfRule type="cellIs" dxfId="74" priority="118" stopIfTrue="1" operator="lessThan">
      <formula>$E22*0.7</formula>
    </cfRule>
  </conditionalFormatting>
  <conditionalFormatting sqref="F22">
    <cfRule type="cellIs" dxfId="73" priority="115" stopIfTrue="1" operator="greaterThan">
      <formula>$E22*4</formula>
    </cfRule>
    <cfRule type="cellIs" dxfId="72" priority="116" stopIfTrue="1" operator="lessThan">
      <formula>$E22*1.5</formula>
    </cfRule>
  </conditionalFormatting>
  <conditionalFormatting sqref="E22">
    <cfRule type="cellIs" dxfId="71" priority="114" stopIfTrue="1" operator="greaterThan">
      <formula>F22</formula>
    </cfRule>
  </conditionalFormatting>
  <conditionalFormatting sqref="D22">
    <cfRule type="cellIs" dxfId="70" priority="112" stopIfTrue="1" operator="greaterThan">
      <formula>$E22*0.9</formula>
    </cfRule>
    <cfRule type="cellIs" dxfId="69" priority="113" stopIfTrue="1" operator="lessThan">
      <formula>$E22*0.7</formula>
    </cfRule>
  </conditionalFormatting>
  <conditionalFormatting sqref="F22">
    <cfRule type="cellIs" dxfId="68" priority="110" stopIfTrue="1" operator="greaterThan">
      <formula>$E22*4</formula>
    </cfRule>
    <cfRule type="cellIs" dxfId="67" priority="111" stopIfTrue="1" operator="lessThan">
      <formula>$E22*1.5</formula>
    </cfRule>
  </conditionalFormatting>
  <conditionalFormatting sqref="E23:E33">
    <cfRule type="cellIs" dxfId="66" priority="109" stopIfTrue="1" operator="greaterThan">
      <formula>F23</formula>
    </cfRule>
  </conditionalFormatting>
  <conditionalFormatting sqref="D23:D33">
    <cfRule type="cellIs" dxfId="65" priority="107" stopIfTrue="1" operator="greaterThan">
      <formula>$E23*0.9</formula>
    </cfRule>
    <cfRule type="cellIs" dxfId="64" priority="108" stopIfTrue="1" operator="lessThan">
      <formula>$E23*0.7</formula>
    </cfRule>
  </conditionalFormatting>
  <conditionalFormatting sqref="F23:F33">
    <cfRule type="cellIs" dxfId="63" priority="105" stopIfTrue="1" operator="greaterThan">
      <formula>$E23*4</formula>
    </cfRule>
    <cfRule type="cellIs" dxfId="62" priority="106" stopIfTrue="1" operator="lessThan">
      <formula>$E23*1.5</formula>
    </cfRule>
  </conditionalFormatting>
  <conditionalFormatting sqref="E23:E33">
    <cfRule type="cellIs" dxfId="61" priority="104" stopIfTrue="1" operator="greaterThan">
      <formula>F23</formula>
    </cfRule>
  </conditionalFormatting>
  <conditionalFormatting sqref="D23:D33">
    <cfRule type="cellIs" dxfId="60" priority="102" stopIfTrue="1" operator="greaterThan">
      <formula>$E23*0.9</formula>
    </cfRule>
    <cfRule type="cellIs" dxfId="59" priority="103" stopIfTrue="1" operator="lessThan">
      <formula>$E23*0.7</formula>
    </cfRule>
  </conditionalFormatting>
  <conditionalFormatting sqref="F23:F33">
    <cfRule type="cellIs" dxfId="58" priority="100" stopIfTrue="1" operator="greaterThan">
      <formula>$E23*4</formula>
    </cfRule>
    <cfRule type="cellIs" dxfId="57" priority="101" stopIfTrue="1" operator="lessThan">
      <formula>$E23*1.5</formula>
    </cfRule>
  </conditionalFormatting>
  <conditionalFormatting sqref="D21">
    <cfRule type="cellIs" dxfId="56" priority="96" stopIfTrue="1" operator="greaterThan">
      <formula>$E21*0.9</formula>
    </cfRule>
    <cfRule type="cellIs" dxfId="55" priority="97" stopIfTrue="1" operator="lessThan">
      <formula>$E21*0.7</formula>
    </cfRule>
  </conditionalFormatting>
  <conditionalFormatting sqref="E36">
    <cfRule type="cellIs" dxfId="54" priority="55" stopIfTrue="1" operator="greaterThan">
      <formula>F36</formula>
    </cfRule>
  </conditionalFormatting>
  <conditionalFormatting sqref="D36">
    <cfRule type="cellIs" dxfId="53" priority="53" stopIfTrue="1" operator="greaterThan">
      <formula>$E36*0.9</formula>
    </cfRule>
    <cfRule type="cellIs" dxfId="52" priority="54" stopIfTrue="1" operator="lessThan">
      <formula>$E36*0.7</formula>
    </cfRule>
  </conditionalFormatting>
  <conditionalFormatting sqref="F36">
    <cfRule type="cellIs" dxfId="51" priority="51" stopIfTrue="1" operator="greaterThan">
      <formula>$E36*4</formula>
    </cfRule>
    <cfRule type="cellIs" dxfId="50" priority="52" stopIfTrue="1" operator="lessThan">
      <formula>$E36*1.5</formula>
    </cfRule>
  </conditionalFormatting>
  <conditionalFormatting sqref="E36">
    <cfRule type="cellIs" dxfId="49" priority="50" stopIfTrue="1" operator="greaterThan">
      <formula>F36</formula>
    </cfRule>
  </conditionalFormatting>
  <conditionalFormatting sqref="D36">
    <cfRule type="cellIs" dxfId="48" priority="48" stopIfTrue="1" operator="greaterThan">
      <formula>$E36*0.9</formula>
    </cfRule>
    <cfRule type="cellIs" dxfId="47" priority="49" stopIfTrue="1" operator="lessThan">
      <formula>$E36*0.7</formula>
    </cfRule>
  </conditionalFormatting>
  <conditionalFormatting sqref="F36">
    <cfRule type="cellIs" dxfId="46" priority="46" stopIfTrue="1" operator="greaterThan">
      <formula>$E36*4</formula>
    </cfRule>
    <cfRule type="cellIs" dxfId="45" priority="47" stopIfTrue="1" operator="lessThan">
      <formula>$E36*1.5</formula>
    </cfRule>
  </conditionalFormatting>
  <conditionalFormatting sqref="E37">
    <cfRule type="cellIs" dxfId="44" priority="45" stopIfTrue="1" operator="greaterThan">
      <formula>F37</formula>
    </cfRule>
  </conditionalFormatting>
  <conditionalFormatting sqref="D37">
    <cfRule type="cellIs" dxfId="43" priority="43" stopIfTrue="1" operator="greaterThan">
      <formula>$E37*0.9</formula>
    </cfRule>
    <cfRule type="cellIs" dxfId="42" priority="44" stopIfTrue="1" operator="lessThan">
      <formula>$E37*0.7</formula>
    </cfRule>
  </conditionalFormatting>
  <conditionalFormatting sqref="F37">
    <cfRule type="cellIs" dxfId="41" priority="41" stopIfTrue="1" operator="greaterThan">
      <formula>$E37*4</formula>
    </cfRule>
    <cfRule type="cellIs" dxfId="40" priority="42" stopIfTrue="1" operator="lessThan">
      <formula>$E37*1.5</formula>
    </cfRule>
  </conditionalFormatting>
  <conditionalFormatting sqref="E37">
    <cfRule type="cellIs" dxfId="39" priority="40" stopIfTrue="1" operator="greaterThan">
      <formula>F37</formula>
    </cfRule>
  </conditionalFormatting>
  <conditionalFormatting sqref="D37">
    <cfRule type="cellIs" dxfId="38" priority="38" stopIfTrue="1" operator="greaterThan">
      <formula>$E37*0.9</formula>
    </cfRule>
    <cfRule type="cellIs" dxfId="37" priority="39" stopIfTrue="1" operator="lessThan">
      <formula>$E37*0.7</formula>
    </cfRule>
  </conditionalFormatting>
  <conditionalFormatting sqref="F37">
    <cfRule type="cellIs" dxfId="36" priority="36" stopIfTrue="1" operator="greaterThan">
      <formula>$E37*4</formula>
    </cfRule>
    <cfRule type="cellIs" dxfId="35" priority="37" stopIfTrue="1" operator="lessThan">
      <formula>$E37*1.5</formula>
    </cfRule>
  </conditionalFormatting>
  <conditionalFormatting sqref="E39">
    <cfRule type="cellIs" dxfId="34" priority="35" stopIfTrue="1" operator="greaterThan">
      <formula>F39</formula>
    </cfRule>
  </conditionalFormatting>
  <conditionalFormatting sqref="D39">
    <cfRule type="cellIs" dxfId="33" priority="33" stopIfTrue="1" operator="greaterThan">
      <formula>$E39*0.9</formula>
    </cfRule>
    <cfRule type="cellIs" dxfId="32" priority="34" stopIfTrue="1" operator="lessThan">
      <formula>$E39*0.7</formula>
    </cfRule>
  </conditionalFormatting>
  <conditionalFormatting sqref="F39">
    <cfRule type="cellIs" dxfId="31" priority="31" stopIfTrue="1" operator="greaterThan">
      <formula>$E39*4</formula>
    </cfRule>
    <cfRule type="cellIs" dxfId="30" priority="32" stopIfTrue="1" operator="lessThan">
      <formula>$E39*1.5</formula>
    </cfRule>
  </conditionalFormatting>
  <conditionalFormatting sqref="E40">
    <cfRule type="cellIs" dxfId="29" priority="30" stopIfTrue="1" operator="greaterThan">
      <formula>F40</formula>
    </cfRule>
  </conditionalFormatting>
  <conditionalFormatting sqref="D40">
    <cfRule type="cellIs" dxfId="28" priority="28" stopIfTrue="1" operator="greaterThan">
      <formula>$E40*0.9</formula>
    </cfRule>
    <cfRule type="cellIs" dxfId="27" priority="29" stopIfTrue="1" operator="lessThan">
      <formula>$E40*0.7</formula>
    </cfRule>
  </conditionalFormatting>
  <conditionalFormatting sqref="F40">
    <cfRule type="cellIs" dxfId="26" priority="26" stopIfTrue="1" operator="greaterThan">
      <formula>$E40*4</formula>
    </cfRule>
    <cfRule type="cellIs" dxfId="25" priority="27" stopIfTrue="1" operator="lessThan">
      <formula>$E40*1.5</formula>
    </cfRule>
  </conditionalFormatting>
  <conditionalFormatting sqref="E40">
    <cfRule type="cellIs" dxfId="24" priority="25" stopIfTrue="1" operator="greaterThan">
      <formula>F40</formula>
    </cfRule>
  </conditionalFormatting>
  <conditionalFormatting sqref="D40">
    <cfRule type="cellIs" dxfId="23" priority="23" stopIfTrue="1" operator="greaterThan">
      <formula>$E40*0.9</formula>
    </cfRule>
    <cfRule type="cellIs" dxfId="22" priority="24" stopIfTrue="1" operator="lessThan">
      <formula>$E40*0.7</formula>
    </cfRule>
  </conditionalFormatting>
  <conditionalFormatting sqref="F40">
    <cfRule type="cellIs" dxfId="21" priority="21" stopIfTrue="1" operator="greaterThan">
      <formula>$E40*4</formula>
    </cfRule>
    <cfRule type="cellIs" dxfId="20" priority="22" stopIfTrue="1" operator="lessThan">
      <formula>$E40*1.5</formula>
    </cfRule>
  </conditionalFormatting>
  <conditionalFormatting sqref="E41">
    <cfRule type="cellIs" dxfId="19" priority="20" stopIfTrue="1" operator="greaterThan">
      <formula>F41</formula>
    </cfRule>
  </conditionalFormatting>
  <conditionalFormatting sqref="D41">
    <cfRule type="cellIs" dxfId="18" priority="18" stopIfTrue="1" operator="greaterThan">
      <formula>$E41*0.9</formula>
    </cfRule>
    <cfRule type="cellIs" dxfId="17" priority="19" stopIfTrue="1" operator="lessThan">
      <formula>$E41*0.7</formula>
    </cfRule>
  </conditionalFormatting>
  <conditionalFormatting sqref="F41">
    <cfRule type="cellIs" dxfId="16" priority="16" stopIfTrue="1" operator="greaterThan">
      <formula>$E41*4</formula>
    </cfRule>
    <cfRule type="cellIs" dxfId="15" priority="17" stopIfTrue="1" operator="lessThan">
      <formula>$E41*1.5</formula>
    </cfRule>
  </conditionalFormatting>
  <conditionalFormatting sqref="E41">
    <cfRule type="cellIs" dxfId="14" priority="15" stopIfTrue="1" operator="greaterThan">
      <formula>F41</formula>
    </cfRule>
  </conditionalFormatting>
  <conditionalFormatting sqref="D41">
    <cfRule type="cellIs" dxfId="13" priority="13" stopIfTrue="1" operator="greaterThan">
      <formula>$E41*0.9</formula>
    </cfRule>
    <cfRule type="cellIs" dxfId="12" priority="14" stopIfTrue="1" operator="lessThan">
      <formula>$E41*0.7</formula>
    </cfRule>
  </conditionalFormatting>
  <conditionalFormatting sqref="F41">
    <cfRule type="cellIs" dxfId="11" priority="11" stopIfTrue="1" operator="greaterThan">
      <formula>$E41*4</formula>
    </cfRule>
    <cfRule type="cellIs" dxfId="10" priority="12" stopIfTrue="1" operator="lessThan">
      <formula>$E41*1.5</formula>
    </cfRule>
  </conditionalFormatting>
  <conditionalFormatting sqref="E42">
    <cfRule type="cellIs" dxfId="9" priority="10" stopIfTrue="1" operator="greaterThan">
      <formula>F42</formula>
    </cfRule>
  </conditionalFormatting>
  <conditionalFormatting sqref="D42">
    <cfRule type="cellIs" dxfId="8" priority="8" stopIfTrue="1" operator="greaterThan">
      <formula>$E42*0.9</formula>
    </cfRule>
    <cfRule type="cellIs" dxfId="7" priority="9" stopIfTrue="1" operator="lessThan">
      <formula>$E42*0.7</formula>
    </cfRule>
  </conditionalFormatting>
  <conditionalFormatting sqref="F42">
    <cfRule type="cellIs" dxfId="6" priority="6" stopIfTrue="1" operator="greaterThan">
      <formula>$E42*4</formula>
    </cfRule>
    <cfRule type="cellIs" dxfId="5" priority="7" stopIfTrue="1" operator="lessThan">
      <formula>$E42*1.5</formula>
    </cfRule>
  </conditionalFormatting>
  <conditionalFormatting sqref="E42">
    <cfRule type="cellIs" dxfId="4" priority="5" stopIfTrue="1" operator="greaterThan">
      <formula>F42</formula>
    </cfRule>
  </conditionalFormatting>
  <conditionalFormatting sqref="D42">
    <cfRule type="cellIs" dxfId="3" priority="3" stopIfTrue="1" operator="greaterThan">
      <formula>$E42*0.9</formula>
    </cfRule>
    <cfRule type="cellIs" dxfId="2" priority="4" stopIfTrue="1" operator="lessThan">
      <formula>$E42*0.7</formula>
    </cfRule>
  </conditionalFormatting>
  <conditionalFormatting sqref="F42">
    <cfRule type="cellIs" dxfId="1" priority="1" stopIfTrue="1" operator="greaterThan">
      <formula>$E42*4</formula>
    </cfRule>
    <cfRule type="cellIs" dxfId="0" priority="2" stopIfTrue="1" operator="lessThan">
      <formula>$E42*1.5</formula>
    </cfRule>
  </conditionalFormatting>
  <dataValidations count="13">
    <dataValidation allowBlank="1" showInputMessage="1" showErrorMessage="1" promptTitle="Estimated Effort" prompt="Estimated Effort for the Task" sqref="O12 S12"/>
    <dataValidation allowBlank="1" showInputMessage="1" showErrorMessage="1" promptTitle="Expected Effort" prompt="Expected Effort for the Task" sqref="G12:J12"/>
    <dataValidation allowBlank="1" showInputMessage="1" showErrorMessage="1" promptTitle="Expected Effort" prompt="Expected Effort based on the PERT formula" sqref="G13"/>
    <dataValidation allowBlank="1" showInputMessage="1" showErrorMessage="1" promptTitle="Average" prompt="Average effort (for confidence level calculations)" sqref="H13"/>
    <dataValidation allowBlank="1" showInputMessage="1" showErrorMessage="1" promptTitle="Standard Deviation" prompt="Standard Deviation (for confidence level calculations)" sqref="I13"/>
    <dataValidation allowBlank="1" showInputMessage="1" showErrorMessage="1" promptTitle="Variance" prompt="Variance (for confidence level calculation)" sqref="J13"/>
    <dataValidation allowBlank="1" showInputMessage="1" showErrorMessage="1" promptTitle="Most Likely Effort - days" prompt="This is the best bet, the sort of estimate that is right more often than any other (i.e. the mode, in statistical language)" sqref="E12:E13 M12:M13 Q12:Q13"/>
    <dataValidation allowBlank="1" showInputMessage="1" showErrorMessage="1" promptTitle="Optimistic Effort - days" prompt="This is an optimistic estimate of what might happen, assuming that known risks do not materialize and that everything goes about as well as possible" sqref="D12:D13 L12:L13 P12:P13"/>
    <dataValidation allowBlank="1" showInputMessage="1" showErrorMessage="1" promptTitle="Pessimistic Effort - days" prompt="This is a pessimistic extreme, assuming that the worst tends to happen, but excluding the very remote - e.g. &quot;Acts of God&quot;" sqref="F12:F13 N12:N13 R12:R13"/>
    <dataValidation allowBlank="1" showInputMessage="1" showErrorMessage="1" promptTitle="No." prompt="Enter a Task Number" sqref="A11"/>
    <dataValidation allowBlank="1" showInputMessage="1" showErrorMessage="1" promptTitle="Task Name" prompt="Enter Task Name" sqref="B11:C11"/>
    <dataValidation type="list" allowBlank="1" showInputMessage="1" showErrorMessage="1" sqref="B5">
      <formula1>"Development, Maintenance, Testing"</formula1>
    </dataValidation>
    <dataValidation type="list" allowBlank="1" showInputMessage="1" showErrorMessage="1" sqref="C14:C44">
      <formula1>Task_Types</formula1>
    </dataValidation>
  </dataValidations>
  <pageMargins left="0.75" right="0.75" top="1" bottom="1" header="0.5" footer="0.5"/>
  <pageSetup orientation="portrait" r:id="rId1"/>
  <headerFooter alignWithMargins="0">
    <oddHeader>&amp;C&amp;"Arial,Bold"&amp;8Virtusa Corporation</oddHeader>
    <oddFooter>&amp;L&amp;"Arial,Bold"&amp;8Project Estimate&amp;R&amp;"Arial,Bold"&amp;8&amp;P of &amp;N</oddFooter>
  </headerFooter>
  <ignoredErrors>
    <ignoredError sqref="I45" formula="1"/>
  </ignoredErrors>
  <drawing r:id="rId2"/>
  <legacyDrawing r:id="rId3"/>
  <controls>
    <mc:AlternateContent xmlns:mc="http://schemas.openxmlformats.org/markup-compatibility/2006">
      <mc:Choice Requires="x14">
        <control shapeId="1066" r:id="rId4" name="AnalyzeData">
          <controlPr autoLine="0" r:id="rId5">
            <anchor moveWithCells="1">
              <from>
                <xdr:col>1</xdr:col>
                <xdr:colOff>1533525</xdr:colOff>
                <xdr:row>1</xdr:row>
                <xdr:rowOff>9525</xdr:rowOff>
              </from>
              <to>
                <xdr:col>1</xdr:col>
                <xdr:colOff>3219450</xdr:colOff>
                <xdr:row>2</xdr:row>
                <xdr:rowOff>133350</xdr:rowOff>
              </to>
            </anchor>
          </controlPr>
        </control>
      </mc:Choice>
      <mc:Fallback>
        <control shapeId="1066" r:id="rId4" name="AnalyzeData"/>
      </mc:Fallback>
    </mc:AlternateContent>
    <mc:AlternateContent xmlns:mc="http://schemas.openxmlformats.org/markup-compatibility/2006">
      <mc:Choice Requires="x14">
        <control shapeId="1059" r:id="rId6" name="InsertRow">
          <controlPr autoLine="0" r:id="rId7">
            <anchor moveWithCells="1">
              <from>
                <xdr:col>0</xdr:col>
                <xdr:colOff>323850</xdr:colOff>
                <xdr:row>1</xdr:row>
                <xdr:rowOff>19050</xdr:rowOff>
              </from>
              <to>
                <xdr:col>1</xdr:col>
                <xdr:colOff>466725</xdr:colOff>
                <xdr:row>2</xdr:row>
                <xdr:rowOff>142875</xdr:rowOff>
              </to>
            </anchor>
          </controlPr>
        </control>
      </mc:Choice>
      <mc:Fallback>
        <control shapeId="1059" r:id="rId6" name="InsertRow"/>
      </mc:Fallback>
    </mc:AlternateContent>
    <mc:AlternateContent xmlns:mc="http://schemas.openxmlformats.org/markup-compatibility/2006">
      <mc:Choice Requires="x14">
        <control shapeId="1060" r:id="rId8" name="DeleteRow">
          <controlPr autoLine="0" r:id="rId9">
            <anchor moveWithCells="1">
              <from>
                <xdr:col>1</xdr:col>
                <xdr:colOff>542925</xdr:colOff>
                <xdr:row>1</xdr:row>
                <xdr:rowOff>9525</xdr:rowOff>
              </from>
              <to>
                <xdr:col>1</xdr:col>
                <xdr:colOff>1457325</xdr:colOff>
                <xdr:row>2</xdr:row>
                <xdr:rowOff>133350</xdr:rowOff>
              </to>
            </anchor>
          </controlPr>
        </control>
      </mc:Choice>
      <mc:Fallback>
        <control shapeId="1060" r:id="rId8" name="DeleteRow"/>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1:I26"/>
  <sheetViews>
    <sheetView workbookViewId="0">
      <selection activeCell="B2" sqref="B2:C2"/>
    </sheetView>
  </sheetViews>
  <sheetFormatPr defaultRowHeight="12.75" x14ac:dyDescent="0.2"/>
  <cols>
    <col min="1" max="1" width="2.7109375" style="23" customWidth="1"/>
    <col min="2" max="6" width="9.140625" style="23"/>
    <col min="7" max="7" width="17.42578125" style="23" hidden="1" customWidth="1"/>
    <col min="8" max="9" width="9.140625" style="23" hidden="1" customWidth="1"/>
    <col min="10" max="16384" width="9.140625" style="23"/>
  </cols>
  <sheetData>
    <row r="1" spans="2:9" ht="13.5" thickBot="1" x14ac:dyDescent="0.25"/>
    <row r="2" spans="2:9" ht="13.5" thickBot="1" x14ac:dyDescent="0.25">
      <c r="B2" s="156" t="s">
        <v>7</v>
      </c>
      <c r="C2" s="157"/>
      <c r="D2" s="75" t="s">
        <v>111</v>
      </c>
      <c r="E2" s="75" t="s">
        <v>112</v>
      </c>
      <c r="F2" s="76" t="s">
        <v>113</v>
      </c>
      <c r="G2" s="71" t="s">
        <v>115</v>
      </c>
      <c r="H2" s="72" t="s">
        <v>116</v>
      </c>
      <c r="I2" s="73" t="s">
        <v>117</v>
      </c>
    </row>
    <row r="3" spans="2:9" x14ac:dyDescent="0.2">
      <c r="B3" s="154" t="s">
        <v>119</v>
      </c>
      <c r="C3" s="155"/>
      <c r="D3" s="77" t="str">
        <f>IF(SUMIF('Detailed Task Estimates'!$C$14:$C$44,$B3,'Detailed Task Estimates'!$D$14:$D$44)&gt;0,SUMIF('Detailed Task Estimates'!$C$14:$C$44,$B3,'Detailed Task Estimates'!$D$14:$D$44),"")</f>
        <v/>
      </c>
      <c r="E3" s="77" t="str">
        <f>IF(SUMIF('Detailed Task Estimates'!$C$14:$C$44,$B3,'Detailed Task Estimates'!$F$14:$F$44)&gt;0,SUMIF('Detailed Task Estimates'!$C$14:$C$44,$B3,'Detailed Task Estimates'!$F$14:$F$44),"")</f>
        <v/>
      </c>
      <c r="F3" s="78" t="str">
        <f>IF(SUMIF('Detailed Task Estimates'!$C$14:$C$44,$B3,'Detailed Task Estimates'!$G$14:$G$44)&gt;0,SUMIF('Detailed Task Estimates'!$C$14:$C$44,$B3,'Detailed Task Estimates'!$G$14:$G$44),"")</f>
        <v/>
      </c>
      <c r="G3" s="74" t="s">
        <v>49</v>
      </c>
      <c r="H3" s="68"/>
      <c r="I3" s="69"/>
    </row>
    <row r="4" spans="2:9" x14ac:dyDescent="0.2">
      <c r="B4" s="152" t="s">
        <v>102</v>
      </c>
      <c r="C4" s="153"/>
      <c r="D4" s="79" t="str">
        <f>IF(SUMIF('Detailed Task Estimates'!$C$14:$C$44,$B4,'Detailed Task Estimates'!$D$14:$D$44)&gt;0,SUMIF('Detailed Task Estimates'!$C$14:$C$44,$B4,'Detailed Task Estimates'!$D$14:$D$44),"")</f>
        <v/>
      </c>
      <c r="E4" s="79" t="str">
        <f>IF(SUMIF('Detailed Task Estimates'!$C$14:$C$44,$B4,'Detailed Task Estimates'!$F$14:$F$44)&gt;0,SUMIF('Detailed Task Estimates'!$C$14:$C$44,$B4,'Detailed Task Estimates'!$F$14:$F$44),"")</f>
        <v/>
      </c>
      <c r="F4" s="80" t="str">
        <f>IF(SUMIF('Detailed Task Estimates'!$C$14:$C$44,$B4,'Detailed Task Estimates'!$G$14:$G$44)&gt;0,SUMIF('Detailed Task Estimates'!$C$14:$C$44,$B4,'Detailed Task Estimates'!$G$14:$G$44),"")</f>
        <v/>
      </c>
      <c r="G4" s="74" t="s">
        <v>49</v>
      </c>
      <c r="H4" s="68" t="s">
        <v>118</v>
      </c>
      <c r="I4" s="69"/>
    </row>
    <row r="5" spans="2:9" x14ac:dyDescent="0.2">
      <c r="B5" s="152" t="s">
        <v>103</v>
      </c>
      <c r="C5" s="153"/>
      <c r="D5" s="79" t="str">
        <f>IF(SUMIF('Detailed Task Estimates'!$C$14:$C$44,$B5,'Detailed Task Estimates'!$D$14:$D$44)&gt;0,SUMIF('Detailed Task Estimates'!$C$14:$C$44,$B5,'Detailed Task Estimates'!$D$14:$D$44),"")</f>
        <v/>
      </c>
      <c r="E5" s="79" t="str">
        <f>IF(SUMIF('Detailed Task Estimates'!$C$14:$C$44,$B5,'Detailed Task Estimates'!$F$14:$F$44)&gt;0,SUMIF('Detailed Task Estimates'!$C$14:$C$44,$B5,'Detailed Task Estimates'!$F$14:$F$44),"")</f>
        <v/>
      </c>
      <c r="F5" s="80" t="str">
        <f>IF(SUMIF('Detailed Task Estimates'!$C$14:$C$44,$B5,'Detailed Task Estimates'!$G$14:$G$44)&gt;0,SUMIF('Detailed Task Estimates'!$C$14:$C$44,$B5,'Detailed Task Estimates'!$G$14:$G$44),"")</f>
        <v/>
      </c>
      <c r="G5" s="74" t="s">
        <v>49</v>
      </c>
      <c r="H5" s="68" t="s">
        <v>118</v>
      </c>
      <c r="I5" s="69" t="s">
        <v>118</v>
      </c>
    </row>
    <row r="6" spans="2:9" x14ac:dyDescent="0.2">
      <c r="B6" s="152" t="s">
        <v>123</v>
      </c>
      <c r="C6" s="153"/>
      <c r="D6" s="79" t="str">
        <f>IF(SUMIF('Detailed Task Estimates'!$C$14:$C$44,$B6,'Detailed Task Estimates'!$D$14:$D$44)&gt;0,SUMIF('Detailed Task Estimates'!$C$14:$C$44,$B6,'Detailed Task Estimates'!$D$14:$D$44),"")</f>
        <v/>
      </c>
      <c r="E6" s="79" t="str">
        <f>IF(SUMIF('Detailed Task Estimates'!$C$14:$C$44,$B6,'Detailed Task Estimates'!$F$14:$F$44)&gt;0,SUMIF('Detailed Task Estimates'!$C$14:$C$44,$B6,'Detailed Task Estimates'!$F$14:$F$44),"")</f>
        <v/>
      </c>
      <c r="F6" s="80" t="str">
        <f>IF(SUMIF('Detailed Task Estimates'!$C$14:$C$44,$B6,'Detailed Task Estimates'!$G$14:$G$44)&gt;0,SUMIF('Detailed Task Estimates'!$C$14:$C$44,$B6,'Detailed Task Estimates'!$G$14:$G$44),"")</f>
        <v/>
      </c>
      <c r="G6" s="74" t="s">
        <v>8</v>
      </c>
      <c r="H6" s="68"/>
      <c r="I6" s="69"/>
    </row>
    <row r="7" spans="2:9" x14ac:dyDescent="0.2">
      <c r="B7" s="152" t="s">
        <v>124</v>
      </c>
      <c r="C7" s="153"/>
      <c r="D7" s="79" t="str">
        <f>IF(SUMIF('Detailed Task Estimates'!$C$14:$C$44,$B7,'Detailed Task Estimates'!$D$14:$D$44)&gt;0,SUMIF('Detailed Task Estimates'!$C$14:$C$44,$B7,'Detailed Task Estimates'!$D$14:$D$44),"")</f>
        <v/>
      </c>
      <c r="E7" s="79" t="str">
        <f>IF(SUMIF('Detailed Task Estimates'!$C$14:$C$44,$B7,'Detailed Task Estimates'!$F$14:$F$44)&gt;0,SUMIF('Detailed Task Estimates'!$C$14:$C$44,$B7,'Detailed Task Estimates'!$F$14:$F$44),"")</f>
        <v/>
      </c>
      <c r="F7" s="80" t="str">
        <f>IF(SUMIF('Detailed Task Estimates'!$C$14:$C$44,$B7,'Detailed Task Estimates'!$G$14:$G$44)&gt;0,SUMIF('Detailed Task Estimates'!$C$14:$C$44,$B7,'Detailed Task Estimates'!$G$14:$G$44),"")</f>
        <v/>
      </c>
      <c r="G7" s="74" t="s">
        <v>8</v>
      </c>
      <c r="H7" s="68" t="s">
        <v>118</v>
      </c>
      <c r="I7" s="69"/>
    </row>
    <row r="8" spans="2:9" x14ac:dyDescent="0.2">
      <c r="B8" s="152" t="s">
        <v>125</v>
      </c>
      <c r="C8" s="153"/>
      <c r="D8" s="79" t="str">
        <f>IF(SUMIF('Detailed Task Estimates'!$C$14:$C$44,$B8,'Detailed Task Estimates'!$D$14:$D$44)&gt;0,SUMIF('Detailed Task Estimates'!$C$14:$C$44,$B8,'Detailed Task Estimates'!$D$14:$D$44),"")</f>
        <v/>
      </c>
      <c r="E8" s="79" t="str">
        <f>IF(SUMIF('Detailed Task Estimates'!$C$14:$C$44,$B8,'Detailed Task Estimates'!$F$14:$F$44)&gt;0,SUMIF('Detailed Task Estimates'!$C$14:$C$44,$B8,'Detailed Task Estimates'!$F$14:$F$44),"")</f>
        <v/>
      </c>
      <c r="F8" s="80" t="str">
        <f>IF(SUMIF('Detailed Task Estimates'!$C$14:$C$44,$B8,'Detailed Task Estimates'!$G$14:$G$44)&gt;0,SUMIF('Detailed Task Estimates'!$C$14:$C$44,$B8,'Detailed Task Estimates'!$G$14:$G$44),"")</f>
        <v/>
      </c>
      <c r="G8" s="74" t="s">
        <v>8</v>
      </c>
      <c r="H8" s="68" t="s">
        <v>118</v>
      </c>
      <c r="I8" s="69" t="s">
        <v>118</v>
      </c>
    </row>
    <row r="9" spans="2:9" x14ac:dyDescent="0.2">
      <c r="B9" s="152" t="s">
        <v>104</v>
      </c>
      <c r="C9" s="153"/>
      <c r="D9" s="79" t="str">
        <f>IF(SUMIF('Detailed Task Estimates'!$C$14:$C$44,$B9,'Detailed Task Estimates'!$D$14:$D$44)&gt;0,SUMIF('Detailed Task Estimates'!$C$14:$C$44,$B9,'Detailed Task Estimates'!$D$14:$D$44),"")</f>
        <v/>
      </c>
      <c r="E9" s="79" t="str">
        <f>IF(SUMIF('Detailed Task Estimates'!$C$14:$C$44,$B9,'Detailed Task Estimates'!$F$14:$F$44)&gt;0,SUMIF('Detailed Task Estimates'!$C$14:$C$44,$B9,'Detailed Task Estimates'!$F$14:$F$44),"")</f>
        <v/>
      </c>
      <c r="F9" s="80" t="str">
        <f>IF(SUMIF('Detailed Task Estimates'!$C$14:$C$44,$B9,'Detailed Task Estimates'!$G$14:$G$44)&gt;0,SUMIF('Detailed Task Estimates'!$C$14:$C$44,$B9,'Detailed Task Estimates'!$G$14:$G$44),"")</f>
        <v/>
      </c>
      <c r="G9" s="74" t="s">
        <v>8</v>
      </c>
      <c r="H9" s="68"/>
      <c r="I9" s="69"/>
    </row>
    <row r="10" spans="2:9" x14ac:dyDescent="0.2">
      <c r="B10" s="152" t="s">
        <v>93</v>
      </c>
      <c r="C10" s="153"/>
      <c r="D10" s="79" t="str">
        <f>IF(SUMIF('Detailed Task Estimates'!$C$14:$C$44,$B10,'Detailed Task Estimates'!$D$14:$D$44)&gt;0,SUMIF('Detailed Task Estimates'!$C$14:$C$44,$B10,'Detailed Task Estimates'!$D$14:$D$44),"")</f>
        <v/>
      </c>
      <c r="E10" s="79" t="str">
        <f>IF(SUMIF('Detailed Task Estimates'!$C$14:$C$44,$B10,'Detailed Task Estimates'!$F$14:$F$44)&gt;0,SUMIF('Detailed Task Estimates'!$C$14:$C$44,$B10,'Detailed Task Estimates'!$F$14:$F$44),"")</f>
        <v/>
      </c>
      <c r="F10" s="80" t="str">
        <f>IF(SUMIF('Detailed Task Estimates'!$C$14:$C$44,$B10,'Detailed Task Estimates'!$G$14:$G$44)&gt;0,SUMIF('Detailed Task Estimates'!$C$14:$C$44,$B10,'Detailed Task Estimates'!$G$14:$G$44),"")</f>
        <v/>
      </c>
      <c r="G10" s="74" t="s">
        <v>8</v>
      </c>
      <c r="H10" s="68" t="s">
        <v>118</v>
      </c>
      <c r="I10" s="69"/>
    </row>
    <row r="11" spans="2:9" x14ac:dyDescent="0.2">
      <c r="B11" s="152" t="s">
        <v>94</v>
      </c>
      <c r="C11" s="153"/>
      <c r="D11" s="79" t="str">
        <f>IF(SUMIF('Detailed Task Estimates'!$C$14:$C$44,$B11,'Detailed Task Estimates'!$D$14:$D$44)&gt;0,SUMIF('Detailed Task Estimates'!$C$14:$C$44,$B11,'Detailed Task Estimates'!$D$14:$D$44),"")</f>
        <v/>
      </c>
      <c r="E11" s="79" t="str">
        <f>IF(SUMIF('Detailed Task Estimates'!$C$14:$C$44,$B11,'Detailed Task Estimates'!$F$14:$F$44)&gt;0,SUMIF('Detailed Task Estimates'!$C$14:$C$44,$B11,'Detailed Task Estimates'!$F$14:$F$44),"")</f>
        <v/>
      </c>
      <c r="F11" s="80" t="str">
        <f>IF(SUMIF('Detailed Task Estimates'!$C$14:$C$44,$B11,'Detailed Task Estimates'!$G$14:$G$44)&gt;0,SUMIF('Detailed Task Estimates'!$C$14:$C$44,$B11,'Detailed Task Estimates'!$G$14:$G$44),"")</f>
        <v/>
      </c>
      <c r="G11" s="74" t="s">
        <v>8</v>
      </c>
      <c r="H11" s="68" t="s">
        <v>118</v>
      </c>
      <c r="I11" s="69" t="s">
        <v>118</v>
      </c>
    </row>
    <row r="12" spans="2:9" x14ac:dyDescent="0.2">
      <c r="B12" s="152" t="s">
        <v>105</v>
      </c>
      <c r="C12" s="153"/>
      <c r="D12" s="79" t="str">
        <f>IF(SUMIF('Detailed Task Estimates'!$C$14:$C$44,$B12,'Detailed Task Estimates'!$D$14:$D$44)&gt;0,SUMIF('Detailed Task Estimates'!$C$14:$C$44,$B12,'Detailed Task Estimates'!$D$14:$D$44),"")</f>
        <v/>
      </c>
      <c r="E12" s="79" t="str">
        <f>IF(SUMIF('Detailed Task Estimates'!$C$14:$C$44,$B12,'Detailed Task Estimates'!$F$14:$F$44)&gt;0,SUMIF('Detailed Task Estimates'!$C$14:$C$44,$B12,'Detailed Task Estimates'!$F$14:$F$44),"")</f>
        <v/>
      </c>
      <c r="F12" s="80" t="str">
        <f>IF(SUMIF('Detailed Task Estimates'!$C$14:$C$44,$B12,'Detailed Task Estimates'!$G$14:$G$44)&gt;0,SUMIF('Detailed Task Estimates'!$C$14:$C$44,$B12,'Detailed Task Estimates'!$G$14:$G$44),"")</f>
        <v/>
      </c>
      <c r="G12" s="74" t="s">
        <v>90</v>
      </c>
      <c r="H12" s="68"/>
      <c r="I12" s="69"/>
    </row>
    <row r="13" spans="2:9" x14ac:dyDescent="0.2">
      <c r="B13" s="152" t="s">
        <v>50</v>
      </c>
      <c r="C13" s="153"/>
      <c r="D13" s="79" t="str">
        <f>IF(SUMIF('Detailed Task Estimates'!$C$14:$C$44,$B13,'Detailed Task Estimates'!$D$14:$D$44)&gt;0,SUMIF('Detailed Task Estimates'!$C$14:$C$44,$B13,'Detailed Task Estimates'!$D$14:$D$44),"")</f>
        <v/>
      </c>
      <c r="E13" s="79" t="str">
        <f>IF(SUMIF('Detailed Task Estimates'!$C$14:$C$44,$B13,'Detailed Task Estimates'!$F$14:$F$44)&gt;0,SUMIF('Detailed Task Estimates'!$C$14:$C$44,$B13,'Detailed Task Estimates'!$F$14:$F$44),"")</f>
        <v/>
      </c>
      <c r="F13" s="80" t="str">
        <f>IF(SUMIF('Detailed Task Estimates'!$C$14:$C$44,$B13,'Detailed Task Estimates'!$G$14:$G$44)&gt;0,SUMIF('Detailed Task Estimates'!$C$14:$C$44,$B13,'Detailed Task Estimates'!$G$14:$G$44),"")</f>
        <v/>
      </c>
      <c r="G13" s="74" t="s">
        <v>90</v>
      </c>
      <c r="H13" s="68" t="s">
        <v>118</v>
      </c>
      <c r="I13" s="69"/>
    </row>
    <row r="14" spans="2:9" x14ac:dyDescent="0.2">
      <c r="B14" s="152" t="s">
        <v>95</v>
      </c>
      <c r="C14" s="153"/>
      <c r="D14" s="79" t="str">
        <f>IF(SUMIF('Detailed Task Estimates'!$C$14:$C$44,$B14,'Detailed Task Estimates'!$D$14:$D$44)&gt;0,SUMIF('Detailed Task Estimates'!$C$14:$C$44,$B14,'Detailed Task Estimates'!$D$14:$D$44),"")</f>
        <v/>
      </c>
      <c r="E14" s="79" t="str">
        <f>IF(SUMIF('Detailed Task Estimates'!$C$14:$C$44,$B14,'Detailed Task Estimates'!$F$14:$F$44)&gt;0,SUMIF('Detailed Task Estimates'!$C$14:$C$44,$B14,'Detailed Task Estimates'!$F$14:$F$44),"")</f>
        <v/>
      </c>
      <c r="F14" s="80" t="str">
        <f>IF(SUMIF('Detailed Task Estimates'!$C$14:$C$44,$B14,'Detailed Task Estimates'!$G$14:$G$44)&gt;0,SUMIF('Detailed Task Estimates'!$C$14:$C$44,$B14,'Detailed Task Estimates'!$G$14:$G$44),"")</f>
        <v/>
      </c>
      <c r="G14" s="74" t="s">
        <v>90</v>
      </c>
      <c r="H14" s="68" t="s">
        <v>118</v>
      </c>
      <c r="I14" s="69" t="s">
        <v>118</v>
      </c>
    </row>
    <row r="15" spans="2:9" x14ac:dyDescent="0.2">
      <c r="B15" s="152" t="s">
        <v>106</v>
      </c>
      <c r="C15" s="153"/>
      <c r="D15" s="79" t="str">
        <f>IF(SUMIF('Detailed Task Estimates'!$C$14:$C$44,$B15,'Detailed Task Estimates'!$D$14:$D$44)&gt;0,SUMIF('Detailed Task Estimates'!$C$14:$C$44,$B15,'Detailed Task Estimates'!$D$14:$D$44),"")</f>
        <v/>
      </c>
      <c r="E15" s="79" t="str">
        <f>IF(SUMIF('Detailed Task Estimates'!$C$14:$C$44,$B15,'Detailed Task Estimates'!$F$14:$F$44)&gt;0,SUMIF('Detailed Task Estimates'!$C$14:$C$44,$B15,'Detailed Task Estimates'!$F$14:$F$44),"")</f>
        <v/>
      </c>
      <c r="F15" s="80" t="str">
        <f>IF(SUMIF('Detailed Task Estimates'!$C$14:$C$44,$B15,'Detailed Task Estimates'!$G$14:$G$44)&gt;0,SUMIF('Detailed Task Estimates'!$C$14:$C$44,$B15,'Detailed Task Estimates'!$G$14:$G$44),"")</f>
        <v/>
      </c>
      <c r="G15" s="74" t="s">
        <v>90</v>
      </c>
      <c r="H15" s="68" t="s">
        <v>118</v>
      </c>
      <c r="I15" s="69"/>
    </row>
    <row r="16" spans="2:9" x14ac:dyDescent="0.2">
      <c r="B16" s="152" t="s">
        <v>107</v>
      </c>
      <c r="C16" s="153"/>
      <c r="D16" s="79" t="str">
        <f>IF(SUMIF('Detailed Task Estimates'!$C$14:$C$44,$B16,'Detailed Task Estimates'!$D$14:$D$44)&gt;0,SUMIF('Detailed Task Estimates'!$C$14:$C$44,$B16,'Detailed Task Estimates'!$D$14:$D$44),"")</f>
        <v/>
      </c>
      <c r="E16" s="79" t="str">
        <f>IF(SUMIF('Detailed Task Estimates'!$C$14:$C$44,$B16,'Detailed Task Estimates'!$F$14:$F$44)&gt;0,SUMIF('Detailed Task Estimates'!$C$14:$C$44,$B16,'Detailed Task Estimates'!$F$14:$F$44),"")</f>
        <v/>
      </c>
      <c r="F16" s="80" t="str">
        <f>IF(SUMIF('Detailed Task Estimates'!$C$14:$C$44,$B16,'Detailed Task Estimates'!$G$14:$G$44)&gt;0,SUMIF('Detailed Task Estimates'!$C$14:$C$44,$B16,'Detailed Task Estimates'!$G$14:$G$44),"")</f>
        <v/>
      </c>
      <c r="G16" s="74" t="s">
        <v>90</v>
      </c>
      <c r="H16" s="68" t="s">
        <v>118</v>
      </c>
      <c r="I16" s="69"/>
    </row>
    <row r="17" spans="2:9" x14ac:dyDescent="0.2">
      <c r="B17" s="152" t="s">
        <v>120</v>
      </c>
      <c r="C17" s="153"/>
      <c r="D17" s="79" t="str">
        <f>IF(SUMIF('Detailed Task Estimates'!$C$14:$C$44,$B17,'Detailed Task Estimates'!$D$14:$D$44)&gt;0,SUMIF('Detailed Task Estimates'!$C$14:$C$44,$B17,'Detailed Task Estimates'!$D$14:$D$44),"")</f>
        <v/>
      </c>
      <c r="E17" s="79" t="str">
        <f>IF(SUMIF('Detailed Task Estimates'!$C$14:$C$44,$B17,'Detailed Task Estimates'!$F$14:$F$44)&gt;0,SUMIF('Detailed Task Estimates'!$C$14:$C$44,$B17,'Detailed Task Estimates'!$F$14:$F$44),"")</f>
        <v/>
      </c>
      <c r="F17" s="80" t="str">
        <f>IF(SUMIF('Detailed Task Estimates'!$C$14:$C$44,$B17,'Detailed Task Estimates'!$G$14:$G$44)&gt;0,SUMIF('Detailed Task Estimates'!$C$14:$C$44,$B17,'Detailed Task Estimates'!$G$14:$G$44),"")</f>
        <v/>
      </c>
      <c r="G17" s="74" t="s">
        <v>38</v>
      </c>
      <c r="H17" s="68" t="s">
        <v>118</v>
      </c>
      <c r="I17" s="69"/>
    </row>
    <row r="18" spans="2:9" x14ac:dyDescent="0.2">
      <c r="B18" s="152" t="s">
        <v>108</v>
      </c>
      <c r="C18" s="153"/>
      <c r="D18" s="79" t="str">
        <f>IF(SUMIF('Detailed Task Estimates'!$C$14:$C$44,$B18,'Detailed Task Estimates'!$D$14:$D$44)&gt;0,SUMIF('Detailed Task Estimates'!$C$14:$C$44,$B18,'Detailed Task Estimates'!$D$14:$D$44),"")</f>
        <v/>
      </c>
      <c r="E18" s="79" t="str">
        <f>IF(SUMIF('Detailed Task Estimates'!$C$14:$C$44,$B18,'Detailed Task Estimates'!$F$14:$F$44)&gt;0,SUMIF('Detailed Task Estimates'!$C$14:$C$44,$B18,'Detailed Task Estimates'!$F$14:$F$44),"")</f>
        <v/>
      </c>
      <c r="F18" s="80" t="str">
        <f>IF(SUMIF('Detailed Task Estimates'!$C$14:$C$44,$B18,'Detailed Task Estimates'!$G$14:$G$44)&gt;0,SUMIF('Detailed Task Estimates'!$C$14:$C$44,$B18,'Detailed Task Estimates'!$G$14:$G$44),"")</f>
        <v/>
      </c>
      <c r="G18" s="74" t="s">
        <v>38</v>
      </c>
      <c r="H18" s="68" t="s">
        <v>118</v>
      </c>
      <c r="I18" s="69"/>
    </row>
    <row r="19" spans="2:9" x14ac:dyDescent="0.2">
      <c r="B19" s="152" t="s">
        <v>109</v>
      </c>
      <c r="C19" s="153"/>
      <c r="D19" s="79" t="str">
        <f>IF(SUMIF('Detailed Task Estimates'!$C$14:$C$44,$B19,'Detailed Task Estimates'!$D$14:$D$44)&gt;0,SUMIF('Detailed Task Estimates'!$C$14:$C$44,$B19,'Detailed Task Estimates'!$D$14:$D$44),"")</f>
        <v/>
      </c>
      <c r="E19" s="79" t="str">
        <f>IF(SUMIF('Detailed Task Estimates'!$C$14:$C$44,$B19,'Detailed Task Estimates'!$F$14:$F$44)&gt;0,SUMIF('Detailed Task Estimates'!$C$14:$C$44,$B19,'Detailed Task Estimates'!$F$14:$F$44),"")</f>
        <v/>
      </c>
      <c r="F19" s="80" t="str">
        <f>IF(SUMIF('Detailed Task Estimates'!$C$14:$C$44,$B19,'Detailed Task Estimates'!$G$14:$G$44)&gt;0,SUMIF('Detailed Task Estimates'!$C$14:$C$44,$B19,'Detailed Task Estimates'!$G$14:$G$44),"")</f>
        <v/>
      </c>
      <c r="G19" s="74" t="s">
        <v>38</v>
      </c>
      <c r="H19" s="68" t="s">
        <v>118</v>
      </c>
      <c r="I19" s="69" t="s">
        <v>118</v>
      </c>
    </row>
    <row r="20" spans="2:9" x14ac:dyDescent="0.2">
      <c r="B20" s="152" t="s">
        <v>110</v>
      </c>
      <c r="C20" s="153"/>
      <c r="D20" s="79">
        <f>IF(SUMIF('Detailed Task Estimates'!$C$14:$C$44,$B20,'Detailed Task Estimates'!$D$14:$D$44)&gt;0,SUMIF('Detailed Task Estimates'!$C$14:$C$44,$B20,'Detailed Task Estimates'!$D$14:$D$44),"")</f>
        <v>48.15</v>
      </c>
      <c r="E20" s="79">
        <f>IF(SUMIF('Detailed Task Estimates'!$C$14:$C$44,$B20,'Detailed Task Estimates'!$F$14:$F$44)&gt;0,SUMIF('Detailed Task Estimates'!$C$14:$C$44,$B20,'Detailed Task Estimates'!$F$14:$F$44),"")</f>
        <v>105</v>
      </c>
      <c r="F20" s="80">
        <f>IF(SUMIF('Detailed Task Estimates'!$C$14:$C$44,$B20,'Detailed Task Estimates'!$G$14:$G$44)&gt;0,SUMIF('Detailed Task Estimates'!$C$14:$C$44,$B20,'Detailed Task Estimates'!$G$14:$G$44),"")</f>
        <v>68.682333333333332</v>
      </c>
      <c r="G20" s="74" t="s">
        <v>38</v>
      </c>
      <c r="H20" s="68" t="s">
        <v>118</v>
      </c>
      <c r="I20" s="69"/>
    </row>
    <row r="21" spans="2:9" x14ac:dyDescent="0.2">
      <c r="B21" s="152" t="s">
        <v>121</v>
      </c>
      <c r="C21" s="153"/>
      <c r="D21" s="79" t="str">
        <f>IF(SUMIF('Detailed Task Estimates'!$C$14:$C$44,$B21,'Detailed Task Estimates'!$D$14:$D$44)&gt;0,SUMIF('Detailed Task Estimates'!$C$14:$C$44,$B21,'Detailed Task Estimates'!$D$14:$D$44),"")</f>
        <v/>
      </c>
      <c r="E21" s="79" t="str">
        <f>IF(SUMIF('Detailed Task Estimates'!$C$14:$C$44,$B21,'Detailed Task Estimates'!$F$14:$F$44)&gt;0,SUMIF('Detailed Task Estimates'!$C$14:$C$44,$B21,'Detailed Task Estimates'!$F$14:$F$44),"")</f>
        <v/>
      </c>
      <c r="F21" s="80" t="str">
        <f>IF(SUMIF('Detailed Task Estimates'!$C$14:$C$44,$B21,'Detailed Task Estimates'!$G$14:$G$44)&gt;0,SUMIF('Detailed Task Estimates'!$C$14:$C$44,$B21,'Detailed Task Estimates'!$G$14:$G$44),"")</f>
        <v/>
      </c>
      <c r="G21" s="74" t="s">
        <v>9</v>
      </c>
      <c r="H21" s="68"/>
      <c r="I21" s="69"/>
    </row>
    <row r="22" spans="2:9" x14ac:dyDescent="0.2">
      <c r="B22" s="152" t="s">
        <v>96</v>
      </c>
      <c r="C22" s="153"/>
      <c r="D22" s="79" t="str">
        <f>IF(SUMIF('Detailed Task Estimates'!$C$14:$C$44,$B22,'Detailed Task Estimates'!$D$14:$D$44)&gt;0,SUMIF('Detailed Task Estimates'!$C$14:$C$44,$B22,'Detailed Task Estimates'!$D$14:$D$44),"")</f>
        <v/>
      </c>
      <c r="E22" s="79" t="str">
        <f>IF(SUMIF('Detailed Task Estimates'!$C$14:$C$44,$B22,'Detailed Task Estimates'!$F$14:$F$44)&gt;0,SUMIF('Detailed Task Estimates'!$C$14:$C$44,$B22,'Detailed Task Estimates'!$F$14:$F$44),"")</f>
        <v/>
      </c>
      <c r="F22" s="80" t="str">
        <f>IF(SUMIF('Detailed Task Estimates'!$C$14:$C$44,$B22,'Detailed Task Estimates'!$G$14:$G$44)&gt;0,SUMIF('Detailed Task Estimates'!$C$14:$C$44,$B22,'Detailed Task Estimates'!$G$14:$G$44),"")</f>
        <v/>
      </c>
      <c r="G22" s="74" t="s">
        <v>9</v>
      </c>
      <c r="H22" s="68" t="s">
        <v>118</v>
      </c>
      <c r="I22" s="69"/>
    </row>
    <row r="23" spans="2:9" x14ac:dyDescent="0.2">
      <c r="B23" s="152" t="s">
        <v>97</v>
      </c>
      <c r="C23" s="153"/>
      <c r="D23" s="79" t="str">
        <f>IF(SUMIF('Detailed Task Estimates'!$C$14:$C$44,$B23,'Detailed Task Estimates'!$D$14:$D$44)&gt;0,SUMIF('Detailed Task Estimates'!$C$14:$C$44,$B23,'Detailed Task Estimates'!$D$14:$D$44),"")</f>
        <v/>
      </c>
      <c r="E23" s="79" t="str">
        <f>IF(SUMIF('Detailed Task Estimates'!$C$14:$C$44,$B23,'Detailed Task Estimates'!$F$14:$F$44)&gt;0,SUMIF('Detailed Task Estimates'!$C$14:$C$44,$B23,'Detailed Task Estimates'!$F$14:$F$44),"")</f>
        <v/>
      </c>
      <c r="F23" s="80" t="str">
        <f>IF(SUMIF('Detailed Task Estimates'!$C$14:$C$44,$B23,'Detailed Task Estimates'!$G$14:$G$44)&gt;0,SUMIF('Detailed Task Estimates'!$C$14:$C$44,$B23,'Detailed Task Estimates'!$G$14:$G$44),"")</f>
        <v/>
      </c>
      <c r="G23" s="74" t="s">
        <v>9</v>
      </c>
      <c r="H23" s="68" t="s">
        <v>118</v>
      </c>
      <c r="I23" s="69" t="s">
        <v>118</v>
      </c>
    </row>
    <row r="24" spans="2:9" x14ac:dyDescent="0.2">
      <c r="B24" s="152" t="s">
        <v>47</v>
      </c>
      <c r="C24" s="153"/>
      <c r="D24" s="79" t="str">
        <f>IF(SUMIF('Detailed Task Estimates'!$C$14:$C$44,$B24,'Detailed Task Estimates'!$D$14:$D$44)&gt;0,SUMIF('Detailed Task Estimates'!$C$14:$C$44,$B24,'Detailed Task Estimates'!$D$14:$D$44),"")</f>
        <v/>
      </c>
      <c r="E24" s="79" t="str">
        <f>IF(SUMIF('Detailed Task Estimates'!$C$14:$C$44,$B24,'Detailed Task Estimates'!$F$14:$F$44)&gt;0,SUMIF('Detailed Task Estimates'!$C$14:$C$44,$B24,'Detailed Task Estimates'!$F$14:$F$44),"")</f>
        <v/>
      </c>
      <c r="F24" s="80" t="str">
        <f>IF(SUMIF('Detailed Task Estimates'!$C$14:$C$44,$B24,'Detailed Task Estimates'!$G$14:$G$44)&gt;0,SUMIF('Detailed Task Estimates'!$C$14:$C$44,$B24,'Detailed Task Estimates'!$G$14:$G$44),"")</f>
        <v/>
      </c>
      <c r="G24" s="74" t="s">
        <v>89</v>
      </c>
      <c r="H24" s="68" t="s">
        <v>118</v>
      </c>
      <c r="I24" s="69"/>
    </row>
    <row r="25" spans="2:9" x14ac:dyDescent="0.2">
      <c r="B25" s="152" t="s">
        <v>48</v>
      </c>
      <c r="C25" s="153"/>
      <c r="D25" s="79" t="str">
        <f>IF(SUMIF('Detailed Task Estimates'!$C$14:$C$44,$B25,'Detailed Task Estimates'!$D$14:$D$44)&gt;0,SUMIF('Detailed Task Estimates'!$C$14:$C$44,$B25,'Detailed Task Estimates'!$D$14:$D$44),"")</f>
        <v/>
      </c>
      <c r="E25" s="79" t="str">
        <f>IF(SUMIF('Detailed Task Estimates'!$C$14:$C$44,$B25,'Detailed Task Estimates'!$F$14:$F$44)&gt;0,SUMIF('Detailed Task Estimates'!$C$14:$C$44,$B25,'Detailed Task Estimates'!$F$14:$F$44),"")</f>
        <v/>
      </c>
      <c r="F25" s="80" t="str">
        <f>IF(SUMIF('Detailed Task Estimates'!$C$14:$C$44,$B25,'Detailed Task Estimates'!$G$14:$G$44)&gt;0,SUMIF('Detailed Task Estimates'!$C$14:$C$44,$B25,'Detailed Task Estimates'!$G$14:$G$44),"")</f>
        <v/>
      </c>
      <c r="G25" s="74" t="s">
        <v>89</v>
      </c>
      <c r="H25" s="68" t="s">
        <v>118</v>
      </c>
      <c r="I25" s="69"/>
    </row>
    <row r="26" spans="2:9" ht="13.5" thickBot="1" x14ac:dyDescent="0.25">
      <c r="B26" s="150" t="s">
        <v>126</v>
      </c>
      <c r="C26" s="151"/>
      <c r="D26" s="81">
        <f>SUM(D3:D25)</f>
        <v>48.15</v>
      </c>
      <c r="E26" s="81">
        <f>SUM(E3:E25)</f>
        <v>105</v>
      </c>
      <c r="F26" s="82">
        <f>SUM(F3:F25)</f>
        <v>68.682333333333332</v>
      </c>
      <c r="H26" s="98">
        <f>IF(F26&gt;0,SUMIF(H3:H25,"Yes",F3:F25)/F26,"")</f>
        <v>1</v>
      </c>
      <c r="I26" s="98">
        <f>IF(F26&gt;0,SUMIF(I3:I25,"Yes",F3:F25)/F26,"")</f>
        <v>0</v>
      </c>
    </row>
  </sheetData>
  <sheetProtection password="CD32" sheet="1" objects="1" scenarios="1"/>
  <mergeCells count="25">
    <mergeCell ref="B2:C2"/>
    <mergeCell ref="B8:C8"/>
    <mergeCell ref="B7:C7"/>
    <mergeCell ref="B21:C21"/>
    <mergeCell ref="B22:C22"/>
    <mergeCell ref="B16:C16"/>
    <mergeCell ref="B17:C17"/>
    <mergeCell ref="B18:C18"/>
    <mergeCell ref="B19:C19"/>
    <mergeCell ref="B20:C20"/>
    <mergeCell ref="B11:C11"/>
    <mergeCell ref="B12:C12"/>
    <mergeCell ref="B26:C26"/>
    <mergeCell ref="B13:C13"/>
    <mergeCell ref="B14:C14"/>
    <mergeCell ref="B15:C15"/>
    <mergeCell ref="B3:C3"/>
    <mergeCell ref="B4:C4"/>
    <mergeCell ref="B5:C5"/>
    <mergeCell ref="B9:C9"/>
    <mergeCell ref="B10:C10"/>
    <mergeCell ref="B6:C6"/>
    <mergeCell ref="B23:C23"/>
    <mergeCell ref="B24:C24"/>
    <mergeCell ref="B25:C25"/>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outlinePr summaryRight="0"/>
  </sheetPr>
  <dimension ref="A1:AB230"/>
  <sheetViews>
    <sheetView showGridLines="0" zoomScale="95" zoomScaleNormal="95" workbookViewId="0">
      <pane ySplit="2" topLeftCell="A3" activePane="bottomLeft" state="frozen"/>
      <selection activeCell="A2" sqref="A2:A4"/>
      <selection pane="bottomLeft" activeCell="E6" sqref="E6"/>
    </sheetView>
  </sheetViews>
  <sheetFormatPr defaultRowHeight="15" x14ac:dyDescent="0.2"/>
  <cols>
    <col min="1" max="1" width="4" style="28" customWidth="1"/>
    <col min="2" max="2" width="71" style="28" customWidth="1"/>
    <col min="3" max="3" width="22.5703125" style="28" bestFit="1" customWidth="1"/>
    <col min="4" max="4" width="11" style="28" bestFit="1" customWidth="1"/>
    <col min="5" max="5" width="11" style="28" customWidth="1"/>
    <col min="6" max="6" width="11" style="28" bestFit="1" customWidth="1"/>
    <col min="7" max="7" width="8.28515625" style="28" customWidth="1"/>
    <col min="8" max="27" width="9.140625" style="28"/>
    <col min="28" max="28" width="17.7109375" style="28" bestFit="1" customWidth="1"/>
    <col min="29" max="16384" width="9.140625" style="28"/>
  </cols>
  <sheetData>
    <row r="1" spans="1:28" ht="15" customHeight="1" x14ac:dyDescent="0.2">
      <c r="A1" s="159" t="s">
        <v>76</v>
      </c>
      <c r="B1" s="159"/>
      <c r="C1" s="159"/>
      <c r="D1" s="160" t="s">
        <v>62</v>
      </c>
      <c r="E1" s="160"/>
      <c r="F1" s="160"/>
      <c r="G1" s="160"/>
    </row>
    <row r="2" spans="1:28" ht="45" x14ac:dyDescent="0.2">
      <c r="A2" s="25" t="s">
        <v>6</v>
      </c>
      <c r="B2" s="25" t="s">
        <v>4</v>
      </c>
      <c r="C2" s="25" t="s">
        <v>33</v>
      </c>
      <c r="D2" s="26" t="s">
        <v>64</v>
      </c>
      <c r="E2" s="26" t="s">
        <v>35</v>
      </c>
      <c r="F2" s="27" t="s">
        <v>63</v>
      </c>
      <c r="G2" s="26" t="s">
        <v>65</v>
      </c>
    </row>
    <row r="3" spans="1:28" x14ac:dyDescent="0.2">
      <c r="A3" s="29">
        <v>1</v>
      </c>
      <c r="B3" s="30" t="s">
        <v>156</v>
      </c>
      <c r="C3" s="31" t="s">
        <v>10</v>
      </c>
      <c r="D3" s="32">
        <v>32</v>
      </c>
      <c r="E3" s="33">
        <v>0.4</v>
      </c>
      <c r="F3" s="34">
        <f>D3*E3</f>
        <v>12.8</v>
      </c>
      <c r="G3" s="35"/>
      <c r="AB3" s="3" t="s">
        <v>14</v>
      </c>
    </row>
    <row r="4" spans="1:28" x14ac:dyDescent="0.2">
      <c r="A4" s="29">
        <v>2</v>
      </c>
      <c r="B4" s="30" t="s">
        <v>157</v>
      </c>
      <c r="C4" s="31" t="s">
        <v>19</v>
      </c>
      <c r="D4" s="32">
        <v>50</v>
      </c>
      <c r="E4" s="33">
        <v>0.25</v>
      </c>
      <c r="F4" s="34">
        <f t="shared" ref="F4:F32" si="0">D4*E4</f>
        <v>12.5</v>
      </c>
      <c r="G4" s="35"/>
      <c r="AB4" s="1" t="s">
        <v>15</v>
      </c>
    </row>
    <row r="5" spans="1:28" ht="30" x14ac:dyDescent="0.2">
      <c r="A5" s="29">
        <v>3</v>
      </c>
      <c r="B5" s="30" t="s">
        <v>164</v>
      </c>
      <c r="C5" s="31" t="s">
        <v>19</v>
      </c>
      <c r="D5" s="32">
        <v>50</v>
      </c>
      <c r="E5" s="33">
        <v>0.25</v>
      </c>
      <c r="F5" s="34">
        <f t="shared" si="0"/>
        <v>12.5</v>
      </c>
      <c r="G5" s="35"/>
      <c r="AB5" s="1" t="s">
        <v>16</v>
      </c>
    </row>
    <row r="6" spans="1:28" ht="30" x14ac:dyDescent="0.2">
      <c r="A6" s="29">
        <v>4</v>
      </c>
      <c r="B6" s="30" t="s">
        <v>165</v>
      </c>
      <c r="C6" s="31" t="s">
        <v>19</v>
      </c>
      <c r="D6" s="32">
        <v>50</v>
      </c>
      <c r="E6" s="33">
        <v>0.25</v>
      </c>
      <c r="F6" s="34">
        <f t="shared" si="0"/>
        <v>12.5</v>
      </c>
      <c r="G6" s="35"/>
      <c r="AB6" s="1" t="s">
        <v>11</v>
      </c>
    </row>
    <row r="7" spans="1:28" x14ac:dyDescent="0.2">
      <c r="A7" s="29">
        <v>5</v>
      </c>
      <c r="B7" s="30"/>
      <c r="C7" s="31"/>
      <c r="D7" s="32"/>
      <c r="E7" s="33"/>
      <c r="F7" s="34">
        <f t="shared" si="0"/>
        <v>0</v>
      </c>
      <c r="G7" s="35"/>
      <c r="AB7" s="1" t="s">
        <v>17</v>
      </c>
    </row>
    <row r="8" spans="1:28" x14ac:dyDescent="0.2">
      <c r="A8" s="29">
        <v>6</v>
      </c>
      <c r="B8" s="30"/>
      <c r="C8" s="31"/>
      <c r="D8" s="32"/>
      <c r="E8" s="33"/>
      <c r="F8" s="34">
        <f t="shared" si="0"/>
        <v>0</v>
      </c>
      <c r="G8" s="35"/>
      <c r="AB8" s="1" t="s">
        <v>18</v>
      </c>
    </row>
    <row r="9" spans="1:28" x14ac:dyDescent="0.2">
      <c r="A9" s="29">
        <v>7</v>
      </c>
      <c r="B9" s="30"/>
      <c r="C9" s="31"/>
      <c r="D9" s="32"/>
      <c r="E9" s="33"/>
      <c r="F9" s="34">
        <f t="shared" si="0"/>
        <v>0</v>
      </c>
      <c r="G9" s="35"/>
      <c r="AB9" s="1" t="s">
        <v>19</v>
      </c>
    </row>
    <row r="10" spans="1:28" x14ac:dyDescent="0.2">
      <c r="A10" s="29">
        <v>8</v>
      </c>
      <c r="B10" s="30"/>
      <c r="C10" s="31"/>
      <c r="D10" s="32"/>
      <c r="E10" s="33"/>
      <c r="F10" s="34">
        <f t="shared" si="0"/>
        <v>0</v>
      </c>
      <c r="G10" s="35"/>
      <c r="AB10" s="1" t="s">
        <v>20</v>
      </c>
    </row>
    <row r="11" spans="1:28" x14ac:dyDescent="0.2">
      <c r="A11" s="29">
        <v>9</v>
      </c>
      <c r="B11" s="30"/>
      <c r="C11" s="31"/>
      <c r="D11" s="32"/>
      <c r="E11" s="33"/>
      <c r="F11" s="34">
        <f t="shared" si="0"/>
        <v>0</v>
      </c>
      <c r="G11" s="35"/>
      <c r="AB11" s="1" t="s">
        <v>10</v>
      </c>
    </row>
    <row r="12" spans="1:28" x14ac:dyDescent="0.2">
      <c r="A12" s="29">
        <v>10</v>
      </c>
      <c r="B12" s="30"/>
      <c r="C12" s="31"/>
      <c r="D12" s="32"/>
      <c r="E12" s="33"/>
      <c r="F12" s="34">
        <f t="shared" si="0"/>
        <v>0</v>
      </c>
      <c r="G12" s="35"/>
      <c r="AB12" s="1" t="s">
        <v>21</v>
      </c>
    </row>
    <row r="13" spans="1:28" x14ac:dyDescent="0.2">
      <c r="A13" s="29">
        <v>11</v>
      </c>
      <c r="B13" s="30"/>
      <c r="C13" s="31"/>
      <c r="D13" s="32"/>
      <c r="E13" s="33"/>
      <c r="F13" s="34">
        <f t="shared" si="0"/>
        <v>0</v>
      </c>
      <c r="G13" s="35"/>
    </row>
    <row r="14" spans="1:28" x14ac:dyDescent="0.2">
      <c r="A14" s="29">
        <v>12</v>
      </c>
      <c r="B14" s="30"/>
      <c r="C14" s="31"/>
      <c r="D14" s="32"/>
      <c r="E14" s="33"/>
      <c r="F14" s="34">
        <f t="shared" si="0"/>
        <v>0</v>
      </c>
      <c r="G14" s="35"/>
    </row>
    <row r="15" spans="1:28" x14ac:dyDescent="0.2">
      <c r="A15" s="29">
        <v>13</v>
      </c>
      <c r="B15" s="30"/>
      <c r="C15" s="31"/>
      <c r="D15" s="32"/>
      <c r="E15" s="33"/>
      <c r="F15" s="34">
        <f t="shared" si="0"/>
        <v>0</v>
      </c>
      <c r="G15" s="35"/>
    </row>
    <row r="16" spans="1:28" x14ac:dyDescent="0.2">
      <c r="A16" s="29">
        <v>14</v>
      </c>
      <c r="B16" s="30"/>
      <c r="C16" s="31"/>
      <c r="D16" s="32"/>
      <c r="E16" s="33"/>
      <c r="F16" s="34">
        <f t="shared" si="0"/>
        <v>0</v>
      </c>
      <c r="G16" s="35"/>
    </row>
    <row r="17" spans="1:7" x14ac:dyDescent="0.2">
      <c r="A17" s="29">
        <v>15</v>
      </c>
      <c r="B17" s="30"/>
      <c r="C17" s="31"/>
      <c r="D17" s="32"/>
      <c r="E17" s="33"/>
      <c r="F17" s="34">
        <f t="shared" si="0"/>
        <v>0</v>
      </c>
      <c r="G17" s="35"/>
    </row>
    <row r="18" spans="1:7" x14ac:dyDescent="0.2">
      <c r="A18" s="29">
        <v>16</v>
      </c>
      <c r="B18" s="30"/>
      <c r="C18" s="31"/>
      <c r="D18" s="32"/>
      <c r="E18" s="33"/>
      <c r="F18" s="34">
        <f t="shared" si="0"/>
        <v>0</v>
      </c>
      <c r="G18" s="35"/>
    </row>
    <row r="19" spans="1:7" x14ac:dyDescent="0.2">
      <c r="A19" s="29">
        <v>17</v>
      </c>
      <c r="B19" s="30"/>
      <c r="C19" s="31"/>
      <c r="D19" s="32"/>
      <c r="E19" s="33"/>
      <c r="F19" s="34">
        <f t="shared" si="0"/>
        <v>0</v>
      </c>
      <c r="G19" s="35"/>
    </row>
    <row r="20" spans="1:7" x14ac:dyDescent="0.2">
      <c r="A20" s="29">
        <v>18</v>
      </c>
      <c r="B20" s="30"/>
      <c r="C20" s="31"/>
      <c r="D20" s="32"/>
      <c r="E20" s="33"/>
      <c r="F20" s="34">
        <f t="shared" si="0"/>
        <v>0</v>
      </c>
      <c r="G20" s="35"/>
    </row>
    <row r="21" spans="1:7" x14ac:dyDescent="0.2">
      <c r="A21" s="29">
        <v>19</v>
      </c>
      <c r="B21" s="30"/>
      <c r="C21" s="31"/>
      <c r="D21" s="32"/>
      <c r="E21" s="33"/>
      <c r="F21" s="34">
        <f t="shared" si="0"/>
        <v>0</v>
      </c>
      <c r="G21" s="35"/>
    </row>
    <row r="22" spans="1:7" x14ac:dyDescent="0.2">
      <c r="A22" s="29">
        <v>20</v>
      </c>
      <c r="B22" s="30"/>
      <c r="C22" s="31"/>
      <c r="D22" s="32"/>
      <c r="E22" s="33"/>
      <c r="F22" s="34">
        <f t="shared" si="0"/>
        <v>0</v>
      </c>
      <c r="G22" s="35"/>
    </row>
    <row r="23" spans="1:7" x14ac:dyDescent="0.2">
      <c r="A23" s="29">
        <v>21</v>
      </c>
      <c r="B23" s="30"/>
      <c r="C23" s="31"/>
      <c r="D23" s="32"/>
      <c r="E23" s="33"/>
      <c r="F23" s="34">
        <f t="shared" si="0"/>
        <v>0</v>
      </c>
      <c r="G23" s="35"/>
    </row>
    <row r="24" spans="1:7" x14ac:dyDescent="0.2">
      <c r="A24" s="29">
        <v>22</v>
      </c>
      <c r="B24" s="30"/>
      <c r="C24" s="31"/>
      <c r="D24" s="32"/>
      <c r="E24" s="33"/>
      <c r="F24" s="34">
        <f t="shared" si="0"/>
        <v>0</v>
      </c>
      <c r="G24" s="35"/>
    </row>
    <row r="25" spans="1:7" x14ac:dyDescent="0.2">
      <c r="A25" s="29">
        <v>23</v>
      </c>
      <c r="B25" s="30"/>
      <c r="C25" s="31"/>
      <c r="D25" s="32"/>
      <c r="E25" s="33"/>
      <c r="F25" s="34">
        <f t="shared" si="0"/>
        <v>0</v>
      </c>
      <c r="G25" s="35"/>
    </row>
    <row r="26" spans="1:7" x14ac:dyDescent="0.2">
      <c r="A26" s="29">
        <v>24</v>
      </c>
      <c r="B26" s="30"/>
      <c r="C26" s="31"/>
      <c r="D26" s="32"/>
      <c r="E26" s="33"/>
      <c r="F26" s="34">
        <f t="shared" si="0"/>
        <v>0</v>
      </c>
      <c r="G26" s="35"/>
    </row>
    <row r="27" spans="1:7" x14ac:dyDescent="0.2">
      <c r="A27" s="29">
        <v>25</v>
      </c>
      <c r="B27" s="30"/>
      <c r="C27" s="31"/>
      <c r="D27" s="32"/>
      <c r="E27" s="33"/>
      <c r="F27" s="34">
        <f t="shared" si="0"/>
        <v>0</v>
      </c>
      <c r="G27" s="35"/>
    </row>
    <row r="28" spans="1:7" x14ac:dyDescent="0.2">
      <c r="A28" s="29">
        <v>26</v>
      </c>
      <c r="B28" s="30"/>
      <c r="C28" s="31"/>
      <c r="D28" s="32"/>
      <c r="E28" s="33"/>
      <c r="F28" s="34">
        <f t="shared" si="0"/>
        <v>0</v>
      </c>
      <c r="G28" s="35"/>
    </row>
    <row r="29" spans="1:7" x14ac:dyDescent="0.2">
      <c r="A29" s="29">
        <v>27</v>
      </c>
      <c r="B29" s="30"/>
      <c r="C29" s="31"/>
      <c r="D29" s="32"/>
      <c r="E29" s="33"/>
      <c r="F29" s="34">
        <f t="shared" si="0"/>
        <v>0</v>
      </c>
      <c r="G29" s="35"/>
    </row>
    <row r="30" spans="1:7" x14ac:dyDescent="0.2">
      <c r="A30" s="29">
        <v>28</v>
      </c>
      <c r="B30" s="30"/>
      <c r="C30" s="31"/>
      <c r="D30" s="32"/>
      <c r="E30" s="33"/>
      <c r="F30" s="34">
        <f t="shared" si="0"/>
        <v>0</v>
      </c>
      <c r="G30" s="35"/>
    </row>
    <row r="31" spans="1:7" x14ac:dyDescent="0.2">
      <c r="A31" s="29">
        <v>29</v>
      </c>
      <c r="B31" s="30"/>
      <c r="C31" s="31"/>
      <c r="D31" s="32"/>
      <c r="E31" s="33"/>
      <c r="F31" s="34">
        <f t="shared" si="0"/>
        <v>0</v>
      </c>
      <c r="G31" s="35"/>
    </row>
    <row r="32" spans="1:7" x14ac:dyDescent="0.2">
      <c r="A32" s="29">
        <v>30</v>
      </c>
      <c r="B32" s="30"/>
      <c r="C32" s="31"/>
      <c r="D32" s="32"/>
      <c r="E32" s="33"/>
      <c r="F32" s="34">
        <f t="shared" si="0"/>
        <v>0</v>
      </c>
      <c r="G32" s="35"/>
    </row>
    <row r="33" spans="1:7" x14ac:dyDescent="0.2">
      <c r="A33" s="158" t="s">
        <v>32</v>
      </c>
      <c r="B33" s="158"/>
      <c r="C33" s="158"/>
      <c r="D33" s="158"/>
      <c r="E33" s="158"/>
      <c r="F33" s="36">
        <f>SUM(F3:F32)</f>
        <v>50.3</v>
      </c>
      <c r="G33" s="37"/>
    </row>
    <row r="34" spans="1:7" x14ac:dyDescent="0.2">
      <c r="D34" s="38"/>
      <c r="E34" s="38"/>
      <c r="F34" s="38"/>
    </row>
    <row r="35" spans="1:7" x14ac:dyDescent="0.2">
      <c r="B35" s="39" t="s">
        <v>31</v>
      </c>
      <c r="E35" s="38"/>
      <c r="F35" s="38"/>
    </row>
    <row r="36" spans="1:7" x14ac:dyDescent="0.2">
      <c r="B36" s="40" t="s">
        <v>7</v>
      </c>
      <c r="C36" s="41" t="s">
        <v>53</v>
      </c>
      <c r="D36" s="42" t="s">
        <v>23</v>
      </c>
      <c r="E36" s="38"/>
      <c r="F36" s="38"/>
    </row>
    <row r="37" spans="1:7" x14ac:dyDescent="0.2">
      <c r="B37" s="43" t="s">
        <v>15</v>
      </c>
      <c r="C37" s="44">
        <f t="shared" ref="C37:C45" si="1">SUMIF($C$3:$C$32,B37,$F$3:$F$32)</f>
        <v>0</v>
      </c>
      <c r="D37" s="45">
        <f t="shared" ref="D37:D46" si="2">IF($C$47=0,0,C37/$C$47)</f>
        <v>0</v>
      </c>
      <c r="E37" s="38"/>
      <c r="F37" s="38"/>
    </row>
    <row r="38" spans="1:7" x14ac:dyDescent="0.2">
      <c r="B38" s="43" t="s">
        <v>16</v>
      </c>
      <c r="C38" s="44">
        <f t="shared" si="1"/>
        <v>0</v>
      </c>
      <c r="D38" s="45">
        <f t="shared" si="2"/>
        <v>0</v>
      </c>
      <c r="E38" s="38"/>
      <c r="F38" s="38"/>
    </row>
    <row r="39" spans="1:7" x14ac:dyDescent="0.2">
      <c r="B39" s="43" t="s">
        <v>11</v>
      </c>
      <c r="C39" s="44">
        <f t="shared" si="1"/>
        <v>0</v>
      </c>
      <c r="D39" s="45">
        <f t="shared" si="2"/>
        <v>0</v>
      </c>
      <c r="E39" s="38"/>
      <c r="F39" s="38"/>
    </row>
    <row r="40" spans="1:7" x14ac:dyDescent="0.2">
      <c r="B40" s="43" t="s">
        <v>17</v>
      </c>
      <c r="C40" s="44">
        <f t="shared" si="1"/>
        <v>0</v>
      </c>
      <c r="D40" s="45">
        <f t="shared" si="2"/>
        <v>0</v>
      </c>
      <c r="E40" s="38"/>
      <c r="F40" s="38"/>
    </row>
    <row r="41" spans="1:7" x14ac:dyDescent="0.2">
      <c r="B41" s="43" t="s">
        <v>18</v>
      </c>
      <c r="C41" s="44">
        <f t="shared" si="1"/>
        <v>0</v>
      </c>
      <c r="D41" s="45">
        <f t="shared" si="2"/>
        <v>0</v>
      </c>
      <c r="E41" s="38"/>
      <c r="F41" s="38"/>
    </row>
    <row r="42" spans="1:7" x14ac:dyDescent="0.2">
      <c r="B42" s="43" t="s">
        <v>19</v>
      </c>
      <c r="C42" s="44">
        <f t="shared" si="1"/>
        <v>37.5</v>
      </c>
      <c r="D42" s="45">
        <f t="shared" si="2"/>
        <v>0.74552683896620286</v>
      </c>
      <c r="E42" s="38"/>
      <c r="F42" s="38"/>
    </row>
    <row r="43" spans="1:7" x14ac:dyDescent="0.2">
      <c r="B43" s="43" t="s">
        <v>20</v>
      </c>
      <c r="C43" s="44">
        <f t="shared" si="1"/>
        <v>0</v>
      </c>
      <c r="D43" s="45">
        <f t="shared" si="2"/>
        <v>0</v>
      </c>
      <c r="E43" s="38"/>
      <c r="F43" s="38"/>
    </row>
    <row r="44" spans="1:7" x14ac:dyDescent="0.2">
      <c r="B44" s="43" t="s">
        <v>10</v>
      </c>
      <c r="C44" s="44">
        <f t="shared" si="1"/>
        <v>12.8</v>
      </c>
      <c r="D44" s="45">
        <f t="shared" si="2"/>
        <v>0.25447316103379725</v>
      </c>
      <c r="E44" s="38"/>
      <c r="F44" s="38"/>
    </row>
    <row r="45" spans="1:7" x14ac:dyDescent="0.2">
      <c r="B45" s="43" t="s">
        <v>21</v>
      </c>
      <c r="C45" s="44">
        <f t="shared" si="1"/>
        <v>0</v>
      </c>
      <c r="D45" s="45">
        <f t="shared" si="2"/>
        <v>0</v>
      </c>
      <c r="E45" s="38"/>
      <c r="F45" s="38"/>
    </row>
    <row r="46" spans="1:7" x14ac:dyDescent="0.2">
      <c r="B46" s="43" t="s">
        <v>29</v>
      </c>
      <c r="C46" s="44">
        <f>SUMIF($C$3:$C$32,"",$F$3:$F$32)</f>
        <v>0</v>
      </c>
      <c r="D46" s="45">
        <f t="shared" si="2"/>
        <v>0</v>
      </c>
      <c r="E46" s="38"/>
      <c r="F46" s="38"/>
    </row>
    <row r="47" spans="1:7" x14ac:dyDescent="0.2">
      <c r="B47" s="46" t="s">
        <v>22</v>
      </c>
      <c r="C47" s="47">
        <f>SUM(C37:C46)</f>
        <v>50.3</v>
      </c>
      <c r="D47" s="48">
        <f>SUM(D37:D46)</f>
        <v>1</v>
      </c>
      <c r="E47" s="38"/>
      <c r="F47" s="38"/>
    </row>
    <row r="48" spans="1:7" x14ac:dyDescent="0.2">
      <c r="D48" s="38"/>
      <c r="E48" s="38"/>
      <c r="F48" s="38"/>
    </row>
    <row r="49" spans="4:6" x14ac:dyDescent="0.2">
      <c r="D49" s="38"/>
      <c r="E49" s="38"/>
      <c r="F49" s="38"/>
    </row>
    <row r="50" spans="4:6" x14ac:dyDescent="0.2">
      <c r="D50" s="38"/>
      <c r="E50" s="38"/>
      <c r="F50" s="38"/>
    </row>
    <row r="51" spans="4:6" x14ac:dyDescent="0.2">
      <c r="D51" s="38"/>
      <c r="E51" s="38"/>
      <c r="F51" s="38"/>
    </row>
    <row r="52" spans="4:6" x14ac:dyDescent="0.2">
      <c r="D52" s="38"/>
      <c r="E52" s="38"/>
      <c r="F52" s="38"/>
    </row>
    <row r="53" spans="4:6" x14ac:dyDescent="0.2">
      <c r="D53" s="38"/>
      <c r="E53" s="38"/>
      <c r="F53" s="38"/>
    </row>
    <row r="54" spans="4:6" x14ac:dyDescent="0.2">
      <c r="D54" s="38"/>
      <c r="E54" s="38"/>
      <c r="F54" s="38"/>
    </row>
    <row r="55" spans="4:6" x14ac:dyDescent="0.2">
      <c r="D55" s="38"/>
      <c r="E55" s="38"/>
      <c r="F55" s="38"/>
    </row>
    <row r="56" spans="4:6" x14ac:dyDescent="0.2">
      <c r="D56" s="38"/>
      <c r="E56" s="38"/>
      <c r="F56" s="38"/>
    </row>
    <row r="57" spans="4:6" x14ac:dyDescent="0.2">
      <c r="D57" s="38"/>
      <c r="E57" s="38"/>
      <c r="F57" s="38"/>
    </row>
    <row r="58" spans="4:6" x14ac:dyDescent="0.2">
      <c r="D58" s="38"/>
      <c r="E58" s="38"/>
      <c r="F58" s="38"/>
    </row>
    <row r="59" spans="4:6" x14ac:dyDescent="0.2">
      <c r="D59" s="38"/>
      <c r="E59" s="38"/>
      <c r="F59" s="38"/>
    </row>
    <row r="60" spans="4:6" x14ac:dyDescent="0.2">
      <c r="D60" s="38"/>
      <c r="E60" s="38"/>
      <c r="F60" s="38"/>
    </row>
    <row r="61" spans="4:6" x14ac:dyDescent="0.2">
      <c r="D61" s="38"/>
      <c r="E61" s="38"/>
      <c r="F61" s="38"/>
    </row>
    <row r="62" spans="4:6" x14ac:dyDescent="0.2">
      <c r="D62" s="38"/>
      <c r="E62" s="38"/>
      <c r="F62" s="38"/>
    </row>
    <row r="63" spans="4:6" x14ac:dyDescent="0.2">
      <c r="D63" s="38"/>
      <c r="E63" s="38"/>
      <c r="F63" s="38"/>
    </row>
    <row r="64" spans="4:6" x14ac:dyDescent="0.2">
      <c r="D64" s="38"/>
      <c r="E64" s="38"/>
      <c r="F64" s="38"/>
    </row>
    <row r="65" spans="4:6" x14ac:dyDescent="0.2">
      <c r="D65" s="38"/>
      <c r="E65" s="38"/>
      <c r="F65" s="38"/>
    </row>
    <row r="66" spans="4:6" x14ac:dyDescent="0.2">
      <c r="D66" s="38"/>
      <c r="E66" s="38"/>
      <c r="F66" s="38"/>
    </row>
    <row r="67" spans="4:6" x14ac:dyDescent="0.2">
      <c r="D67" s="38"/>
      <c r="E67" s="38"/>
      <c r="F67" s="38"/>
    </row>
    <row r="68" spans="4:6" x14ac:dyDescent="0.2">
      <c r="D68" s="38"/>
      <c r="E68" s="38"/>
      <c r="F68" s="38"/>
    </row>
    <row r="69" spans="4:6" x14ac:dyDescent="0.2">
      <c r="D69" s="38"/>
      <c r="E69" s="38"/>
      <c r="F69" s="38"/>
    </row>
    <row r="70" spans="4:6" x14ac:dyDescent="0.2">
      <c r="D70" s="38"/>
      <c r="E70" s="38"/>
      <c r="F70" s="38"/>
    </row>
    <row r="71" spans="4:6" x14ac:dyDescent="0.2">
      <c r="D71" s="38"/>
      <c r="E71" s="38"/>
      <c r="F71" s="38"/>
    </row>
    <row r="72" spans="4:6" x14ac:dyDescent="0.2">
      <c r="D72" s="38"/>
      <c r="E72" s="38"/>
      <c r="F72" s="38"/>
    </row>
    <row r="73" spans="4:6" x14ac:dyDescent="0.2">
      <c r="D73" s="38"/>
      <c r="E73" s="38"/>
      <c r="F73" s="38"/>
    </row>
    <row r="74" spans="4:6" x14ac:dyDescent="0.2">
      <c r="D74" s="38"/>
      <c r="E74" s="38"/>
      <c r="F74" s="38"/>
    </row>
    <row r="75" spans="4:6" x14ac:dyDescent="0.2">
      <c r="D75" s="38"/>
      <c r="E75" s="38"/>
      <c r="F75" s="38"/>
    </row>
    <row r="76" spans="4:6" x14ac:dyDescent="0.2">
      <c r="D76" s="38"/>
      <c r="E76" s="38"/>
      <c r="F76" s="38"/>
    </row>
    <row r="77" spans="4:6" x14ac:dyDescent="0.2">
      <c r="D77" s="38"/>
      <c r="E77" s="38"/>
      <c r="F77" s="38"/>
    </row>
    <row r="78" spans="4:6" x14ac:dyDescent="0.2">
      <c r="D78" s="38"/>
      <c r="E78" s="38"/>
      <c r="F78" s="38"/>
    </row>
    <row r="79" spans="4:6" x14ac:dyDescent="0.2">
      <c r="D79" s="38"/>
      <c r="E79" s="38"/>
      <c r="F79" s="38"/>
    </row>
    <row r="80" spans="4:6" x14ac:dyDescent="0.2">
      <c r="D80" s="38"/>
      <c r="E80" s="38"/>
      <c r="F80" s="38"/>
    </row>
    <row r="81" spans="4:6" x14ac:dyDescent="0.2">
      <c r="D81" s="38"/>
      <c r="E81" s="38"/>
      <c r="F81" s="38"/>
    </row>
    <row r="82" spans="4:6" x14ac:dyDescent="0.2">
      <c r="D82" s="38"/>
      <c r="E82" s="38"/>
      <c r="F82" s="38"/>
    </row>
    <row r="83" spans="4:6" x14ac:dyDescent="0.2">
      <c r="D83" s="38"/>
      <c r="E83" s="38"/>
      <c r="F83" s="38"/>
    </row>
    <row r="84" spans="4:6" x14ac:dyDescent="0.2">
      <c r="D84" s="38"/>
      <c r="E84" s="38"/>
      <c r="F84" s="38"/>
    </row>
    <row r="85" spans="4:6" x14ac:dyDescent="0.2">
      <c r="D85" s="38"/>
      <c r="E85" s="38"/>
      <c r="F85" s="38"/>
    </row>
    <row r="86" spans="4:6" x14ac:dyDescent="0.2">
      <c r="D86" s="38"/>
      <c r="E86" s="38"/>
      <c r="F86" s="38"/>
    </row>
    <row r="87" spans="4:6" x14ac:dyDescent="0.2">
      <c r="D87" s="38"/>
      <c r="E87" s="38"/>
      <c r="F87" s="38"/>
    </row>
    <row r="88" spans="4:6" x14ac:dyDescent="0.2">
      <c r="D88" s="38"/>
      <c r="E88" s="38"/>
      <c r="F88" s="38"/>
    </row>
    <row r="89" spans="4:6" x14ac:dyDescent="0.2">
      <c r="D89" s="38"/>
      <c r="E89" s="38"/>
      <c r="F89" s="38"/>
    </row>
    <row r="90" spans="4:6" x14ac:dyDescent="0.2">
      <c r="D90" s="38"/>
      <c r="E90" s="38"/>
      <c r="F90" s="38"/>
    </row>
    <row r="91" spans="4:6" x14ac:dyDescent="0.2">
      <c r="D91" s="38"/>
      <c r="E91" s="38"/>
      <c r="F91" s="38"/>
    </row>
    <row r="92" spans="4:6" x14ac:dyDescent="0.2">
      <c r="D92" s="38"/>
      <c r="E92" s="38"/>
      <c r="F92" s="38"/>
    </row>
    <row r="93" spans="4:6" x14ac:dyDescent="0.2">
      <c r="D93" s="38"/>
      <c r="E93" s="38"/>
      <c r="F93" s="38"/>
    </row>
    <row r="94" spans="4:6" x14ac:dyDescent="0.2">
      <c r="D94" s="38"/>
      <c r="E94" s="38"/>
      <c r="F94" s="38"/>
    </row>
    <row r="95" spans="4:6" x14ac:dyDescent="0.2">
      <c r="D95" s="38"/>
      <c r="E95" s="38"/>
      <c r="F95" s="38"/>
    </row>
    <row r="96" spans="4:6" x14ac:dyDescent="0.2">
      <c r="D96" s="38"/>
      <c r="E96" s="38"/>
      <c r="F96" s="38"/>
    </row>
    <row r="97" spans="4:6" x14ac:dyDescent="0.2">
      <c r="D97" s="38"/>
      <c r="E97" s="38"/>
      <c r="F97" s="38"/>
    </row>
    <row r="98" spans="4:6" x14ac:dyDescent="0.2">
      <c r="D98" s="38"/>
      <c r="E98" s="38"/>
      <c r="F98" s="38"/>
    </row>
    <row r="99" spans="4:6" x14ac:dyDescent="0.2">
      <c r="D99" s="38"/>
      <c r="E99" s="38"/>
      <c r="F99" s="38"/>
    </row>
    <row r="100" spans="4:6" x14ac:dyDescent="0.2">
      <c r="D100" s="38"/>
      <c r="E100" s="38"/>
      <c r="F100" s="38"/>
    </row>
    <row r="101" spans="4:6" x14ac:dyDescent="0.2">
      <c r="D101" s="38"/>
      <c r="E101" s="38"/>
      <c r="F101" s="38"/>
    </row>
    <row r="102" spans="4:6" x14ac:dyDescent="0.2">
      <c r="D102" s="38"/>
      <c r="E102" s="38"/>
      <c r="F102" s="38"/>
    </row>
    <row r="103" spans="4:6" x14ac:dyDescent="0.2">
      <c r="D103" s="38"/>
      <c r="E103" s="38"/>
      <c r="F103" s="38"/>
    </row>
    <row r="104" spans="4:6" x14ac:dyDescent="0.2">
      <c r="D104" s="38"/>
      <c r="E104" s="38"/>
      <c r="F104" s="38"/>
    </row>
    <row r="105" spans="4:6" x14ac:dyDescent="0.2">
      <c r="D105" s="38"/>
      <c r="E105" s="38"/>
      <c r="F105" s="38"/>
    </row>
    <row r="106" spans="4:6" x14ac:dyDescent="0.2">
      <c r="D106" s="38"/>
      <c r="E106" s="38"/>
      <c r="F106" s="38"/>
    </row>
    <row r="107" spans="4:6" x14ac:dyDescent="0.2">
      <c r="D107" s="38"/>
      <c r="E107" s="38"/>
      <c r="F107" s="38"/>
    </row>
    <row r="108" spans="4:6" x14ac:dyDescent="0.2">
      <c r="D108" s="38"/>
      <c r="E108" s="38"/>
      <c r="F108" s="38"/>
    </row>
    <row r="109" spans="4:6" x14ac:dyDescent="0.2">
      <c r="D109" s="38"/>
      <c r="E109" s="38"/>
      <c r="F109" s="38"/>
    </row>
    <row r="110" spans="4:6" x14ac:dyDescent="0.2">
      <c r="D110" s="38"/>
      <c r="E110" s="38"/>
      <c r="F110" s="38"/>
    </row>
    <row r="111" spans="4:6" x14ac:dyDescent="0.2">
      <c r="D111" s="38"/>
      <c r="E111" s="38"/>
      <c r="F111" s="38"/>
    </row>
    <row r="112" spans="4:6" x14ac:dyDescent="0.2">
      <c r="D112" s="38"/>
      <c r="E112" s="38"/>
      <c r="F112" s="38"/>
    </row>
    <row r="113" spans="4:6" x14ac:dyDescent="0.2">
      <c r="D113" s="38"/>
      <c r="E113" s="38"/>
      <c r="F113" s="38"/>
    </row>
    <row r="114" spans="4:6" x14ac:dyDescent="0.2">
      <c r="D114" s="38"/>
      <c r="E114" s="38"/>
      <c r="F114" s="38"/>
    </row>
    <row r="115" spans="4:6" x14ac:dyDescent="0.2">
      <c r="D115" s="38"/>
      <c r="E115" s="38"/>
      <c r="F115" s="38"/>
    </row>
    <row r="116" spans="4:6" x14ac:dyDescent="0.2">
      <c r="D116" s="38"/>
      <c r="E116" s="38"/>
      <c r="F116" s="38"/>
    </row>
    <row r="117" spans="4:6" x14ac:dyDescent="0.2">
      <c r="D117" s="38"/>
      <c r="E117" s="38"/>
      <c r="F117" s="38"/>
    </row>
    <row r="118" spans="4:6" x14ac:dyDescent="0.2">
      <c r="D118" s="38"/>
      <c r="E118" s="38"/>
      <c r="F118" s="38"/>
    </row>
    <row r="119" spans="4:6" x14ac:dyDescent="0.2">
      <c r="D119" s="38"/>
      <c r="E119" s="38"/>
      <c r="F119" s="38"/>
    </row>
    <row r="120" spans="4:6" x14ac:dyDescent="0.2">
      <c r="D120" s="38"/>
      <c r="E120" s="38"/>
      <c r="F120" s="38"/>
    </row>
    <row r="121" spans="4:6" x14ac:dyDescent="0.2">
      <c r="D121" s="38"/>
      <c r="E121" s="38"/>
      <c r="F121" s="38"/>
    </row>
    <row r="122" spans="4:6" x14ac:dyDescent="0.2">
      <c r="D122" s="38"/>
      <c r="E122" s="38"/>
      <c r="F122" s="38"/>
    </row>
    <row r="123" spans="4:6" x14ac:dyDescent="0.2">
      <c r="D123" s="38"/>
      <c r="E123" s="38"/>
      <c r="F123" s="38"/>
    </row>
    <row r="124" spans="4:6" x14ac:dyDescent="0.2">
      <c r="D124" s="38"/>
      <c r="E124" s="38"/>
      <c r="F124" s="38"/>
    </row>
    <row r="125" spans="4:6" x14ac:dyDescent="0.2">
      <c r="D125" s="38"/>
      <c r="E125" s="38"/>
      <c r="F125" s="38"/>
    </row>
    <row r="126" spans="4:6" x14ac:dyDescent="0.2">
      <c r="D126" s="38"/>
      <c r="E126" s="38"/>
      <c r="F126" s="38"/>
    </row>
    <row r="127" spans="4:6" x14ac:dyDescent="0.2">
      <c r="D127" s="38"/>
      <c r="E127" s="38"/>
      <c r="F127" s="38"/>
    </row>
    <row r="128" spans="4:6" x14ac:dyDescent="0.2">
      <c r="D128" s="38"/>
      <c r="E128" s="38"/>
      <c r="F128" s="38"/>
    </row>
    <row r="129" spans="4:6" x14ac:dyDescent="0.2">
      <c r="D129" s="38"/>
      <c r="E129" s="38"/>
      <c r="F129" s="38"/>
    </row>
    <row r="130" spans="4:6" x14ac:dyDescent="0.2">
      <c r="D130" s="38"/>
      <c r="E130" s="38"/>
      <c r="F130" s="38"/>
    </row>
    <row r="131" spans="4:6" x14ac:dyDescent="0.2">
      <c r="D131" s="38"/>
      <c r="E131" s="38"/>
      <c r="F131" s="38"/>
    </row>
    <row r="132" spans="4:6" x14ac:dyDescent="0.2">
      <c r="D132" s="38"/>
      <c r="E132" s="38"/>
      <c r="F132" s="38"/>
    </row>
    <row r="133" spans="4:6" x14ac:dyDescent="0.2">
      <c r="D133" s="38"/>
      <c r="E133" s="38"/>
      <c r="F133" s="38"/>
    </row>
    <row r="134" spans="4:6" x14ac:dyDescent="0.2">
      <c r="D134" s="38"/>
      <c r="E134" s="38"/>
      <c r="F134" s="38"/>
    </row>
    <row r="135" spans="4:6" x14ac:dyDescent="0.2">
      <c r="D135" s="38"/>
      <c r="E135" s="38"/>
      <c r="F135" s="38"/>
    </row>
    <row r="136" spans="4:6" x14ac:dyDescent="0.2">
      <c r="D136" s="38"/>
      <c r="E136" s="38"/>
      <c r="F136" s="38"/>
    </row>
    <row r="137" spans="4:6" x14ac:dyDescent="0.2">
      <c r="D137" s="38"/>
      <c r="E137" s="38"/>
      <c r="F137" s="38"/>
    </row>
    <row r="138" spans="4:6" x14ac:dyDescent="0.2">
      <c r="D138" s="38"/>
      <c r="E138" s="38"/>
      <c r="F138" s="38"/>
    </row>
    <row r="139" spans="4:6" x14ac:dyDescent="0.2">
      <c r="D139" s="38"/>
      <c r="E139" s="38"/>
      <c r="F139" s="38"/>
    </row>
    <row r="140" spans="4:6" x14ac:dyDescent="0.2">
      <c r="D140" s="38"/>
      <c r="E140" s="38"/>
      <c r="F140" s="38"/>
    </row>
    <row r="141" spans="4:6" x14ac:dyDescent="0.2">
      <c r="D141" s="38"/>
      <c r="E141" s="38"/>
      <c r="F141" s="38"/>
    </row>
    <row r="142" spans="4:6" x14ac:dyDescent="0.2">
      <c r="D142" s="38"/>
      <c r="E142" s="38"/>
      <c r="F142" s="38"/>
    </row>
    <row r="143" spans="4:6" x14ac:dyDescent="0.2">
      <c r="D143" s="38"/>
      <c r="E143" s="38"/>
      <c r="F143" s="38"/>
    </row>
    <row r="144" spans="4:6" x14ac:dyDescent="0.2">
      <c r="D144" s="38"/>
      <c r="E144" s="38"/>
      <c r="F144" s="38"/>
    </row>
    <row r="145" spans="4:6" x14ac:dyDescent="0.2">
      <c r="D145" s="38"/>
      <c r="E145" s="38"/>
      <c r="F145" s="38"/>
    </row>
    <row r="146" spans="4:6" x14ac:dyDescent="0.2">
      <c r="D146" s="38"/>
      <c r="E146" s="38"/>
      <c r="F146" s="38"/>
    </row>
    <row r="147" spans="4:6" x14ac:dyDescent="0.2">
      <c r="D147" s="38"/>
      <c r="E147" s="38"/>
      <c r="F147" s="38"/>
    </row>
    <row r="148" spans="4:6" x14ac:dyDescent="0.2">
      <c r="D148" s="38"/>
      <c r="E148" s="38"/>
      <c r="F148" s="38"/>
    </row>
    <row r="149" spans="4:6" x14ac:dyDescent="0.2">
      <c r="D149" s="38"/>
      <c r="E149" s="38"/>
      <c r="F149" s="38"/>
    </row>
    <row r="150" spans="4:6" x14ac:dyDescent="0.2">
      <c r="D150" s="38"/>
      <c r="E150" s="38"/>
      <c r="F150" s="38"/>
    </row>
    <row r="151" spans="4:6" x14ac:dyDescent="0.2">
      <c r="D151" s="38"/>
      <c r="E151" s="38"/>
      <c r="F151" s="38"/>
    </row>
    <row r="152" spans="4:6" x14ac:dyDescent="0.2">
      <c r="D152" s="38"/>
      <c r="E152" s="38"/>
      <c r="F152" s="38"/>
    </row>
    <row r="153" spans="4:6" x14ac:dyDescent="0.2">
      <c r="D153" s="38"/>
      <c r="E153" s="38"/>
      <c r="F153" s="38"/>
    </row>
    <row r="154" spans="4:6" x14ac:dyDescent="0.2">
      <c r="D154" s="38"/>
      <c r="E154" s="38"/>
      <c r="F154" s="38"/>
    </row>
    <row r="155" spans="4:6" x14ac:dyDescent="0.2">
      <c r="D155" s="38"/>
      <c r="E155" s="38"/>
      <c r="F155" s="38"/>
    </row>
    <row r="156" spans="4:6" x14ac:dyDescent="0.2">
      <c r="D156" s="38"/>
      <c r="E156" s="38"/>
      <c r="F156" s="38"/>
    </row>
    <row r="157" spans="4:6" x14ac:dyDescent="0.2">
      <c r="D157" s="38"/>
      <c r="E157" s="38"/>
      <c r="F157" s="38"/>
    </row>
    <row r="158" spans="4:6" x14ac:dyDescent="0.2">
      <c r="D158" s="38"/>
      <c r="E158" s="38"/>
      <c r="F158" s="38"/>
    </row>
    <row r="159" spans="4:6" x14ac:dyDescent="0.2">
      <c r="D159" s="38"/>
      <c r="E159" s="38"/>
      <c r="F159" s="38"/>
    </row>
    <row r="160" spans="4:6" x14ac:dyDescent="0.2">
      <c r="D160" s="38"/>
      <c r="E160" s="38"/>
      <c r="F160" s="38"/>
    </row>
    <row r="161" spans="4:6" x14ac:dyDescent="0.2">
      <c r="D161" s="38"/>
      <c r="E161" s="38"/>
      <c r="F161" s="38"/>
    </row>
    <row r="162" spans="4:6" x14ac:dyDescent="0.2">
      <c r="D162" s="38"/>
      <c r="E162" s="38"/>
      <c r="F162" s="38"/>
    </row>
    <row r="163" spans="4:6" x14ac:dyDescent="0.2">
      <c r="D163" s="38"/>
      <c r="E163" s="38"/>
      <c r="F163" s="38"/>
    </row>
    <row r="164" spans="4:6" x14ac:dyDescent="0.2">
      <c r="D164" s="38"/>
      <c r="E164" s="38"/>
      <c r="F164" s="38"/>
    </row>
    <row r="165" spans="4:6" x14ac:dyDescent="0.2">
      <c r="D165" s="38"/>
      <c r="E165" s="38"/>
      <c r="F165" s="38"/>
    </row>
    <row r="166" spans="4:6" x14ac:dyDescent="0.2">
      <c r="D166" s="38"/>
      <c r="E166" s="38"/>
      <c r="F166" s="38"/>
    </row>
    <row r="167" spans="4:6" x14ac:dyDescent="0.2">
      <c r="D167" s="38"/>
      <c r="E167" s="38"/>
      <c r="F167" s="38"/>
    </row>
    <row r="168" spans="4:6" x14ac:dyDescent="0.2">
      <c r="D168" s="38"/>
      <c r="E168" s="38"/>
      <c r="F168" s="38"/>
    </row>
    <row r="169" spans="4:6" x14ac:dyDescent="0.2">
      <c r="D169" s="38"/>
      <c r="E169" s="38"/>
      <c r="F169" s="38"/>
    </row>
    <row r="170" spans="4:6" x14ac:dyDescent="0.2">
      <c r="D170" s="38"/>
      <c r="E170" s="38"/>
      <c r="F170" s="38"/>
    </row>
    <row r="171" spans="4:6" x14ac:dyDescent="0.2">
      <c r="D171" s="38"/>
      <c r="E171" s="38"/>
      <c r="F171" s="38"/>
    </row>
    <row r="172" spans="4:6" x14ac:dyDescent="0.2">
      <c r="D172" s="38"/>
      <c r="E172" s="38"/>
      <c r="F172" s="38"/>
    </row>
    <row r="173" spans="4:6" x14ac:dyDescent="0.2">
      <c r="D173" s="38"/>
      <c r="E173" s="38"/>
      <c r="F173" s="38"/>
    </row>
    <row r="174" spans="4:6" x14ac:dyDescent="0.2">
      <c r="D174" s="38"/>
      <c r="E174" s="38"/>
      <c r="F174" s="38"/>
    </row>
    <row r="175" spans="4:6" x14ac:dyDescent="0.2">
      <c r="D175" s="38"/>
      <c r="E175" s="38"/>
      <c r="F175" s="38"/>
    </row>
    <row r="176" spans="4:6" x14ac:dyDescent="0.2">
      <c r="D176" s="38"/>
      <c r="E176" s="38"/>
      <c r="F176" s="38"/>
    </row>
    <row r="177" spans="4:6" x14ac:dyDescent="0.2">
      <c r="D177" s="38"/>
      <c r="E177" s="38"/>
      <c r="F177" s="38"/>
    </row>
    <row r="178" spans="4:6" x14ac:dyDescent="0.2">
      <c r="D178" s="38"/>
      <c r="E178" s="38"/>
      <c r="F178" s="38"/>
    </row>
    <row r="179" spans="4:6" x14ac:dyDescent="0.2">
      <c r="D179" s="38"/>
      <c r="E179" s="38"/>
      <c r="F179" s="38"/>
    </row>
    <row r="180" spans="4:6" x14ac:dyDescent="0.2">
      <c r="D180" s="38"/>
      <c r="E180" s="38"/>
      <c r="F180" s="38"/>
    </row>
    <row r="181" spans="4:6" x14ac:dyDescent="0.2">
      <c r="D181" s="38"/>
      <c r="E181" s="38"/>
      <c r="F181" s="38"/>
    </row>
    <row r="182" spans="4:6" x14ac:dyDescent="0.2">
      <c r="D182" s="38"/>
      <c r="E182" s="38"/>
      <c r="F182" s="38"/>
    </row>
    <row r="183" spans="4:6" x14ac:dyDescent="0.2">
      <c r="D183" s="38"/>
      <c r="E183" s="38"/>
      <c r="F183" s="38"/>
    </row>
    <row r="184" spans="4:6" x14ac:dyDescent="0.2">
      <c r="D184" s="38"/>
      <c r="E184" s="38"/>
      <c r="F184" s="38"/>
    </row>
    <row r="185" spans="4:6" x14ac:dyDescent="0.2">
      <c r="D185" s="38"/>
      <c r="E185" s="38"/>
      <c r="F185" s="38"/>
    </row>
    <row r="186" spans="4:6" x14ac:dyDescent="0.2">
      <c r="D186" s="38"/>
      <c r="E186" s="38"/>
      <c r="F186" s="38"/>
    </row>
    <row r="187" spans="4:6" x14ac:dyDescent="0.2">
      <c r="D187" s="38"/>
      <c r="E187" s="38"/>
      <c r="F187" s="38"/>
    </row>
    <row r="188" spans="4:6" x14ac:dyDescent="0.2">
      <c r="D188" s="38"/>
      <c r="E188" s="38"/>
      <c r="F188" s="38"/>
    </row>
    <row r="189" spans="4:6" x14ac:dyDescent="0.2">
      <c r="D189" s="38"/>
      <c r="E189" s="38"/>
      <c r="F189" s="38"/>
    </row>
    <row r="190" spans="4:6" x14ac:dyDescent="0.2">
      <c r="D190" s="38"/>
      <c r="E190" s="38"/>
      <c r="F190" s="38"/>
    </row>
    <row r="191" spans="4:6" x14ac:dyDescent="0.2">
      <c r="D191" s="38"/>
      <c r="E191" s="38"/>
      <c r="F191" s="38"/>
    </row>
    <row r="192" spans="4:6" x14ac:dyDescent="0.2">
      <c r="D192" s="38"/>
      <c r="E192" s="38"/>
      <c r="F192" s="38"/>
    </row>
    <row r="193" spans="4:6" x14ac:dyDescent="0.2">
      <c r="D193" s="38"/>
      <c r="E193" s="38"/>
      <c r="F193" s="38"/>
    </row>
    <row r="194" spans="4:6" x14ac:dyDescent="0.2">
      <c r="D194" s="38"/>
      <c r="E194" s="38"/>
      <c r="F194" s="38"/>
    </row>
    <row r="195" spans="4:6" x14ac:dyDescent="0.2">
      <c r="D195" s="38"/>
      <c r="E195" s="38"/>
      <c r="F195" s="38"/>
    </row>
    <row r="196" spans="4:6" x14ac:dyDescent="0.2">
      <c r="D196" s="38"/>
      <c r="E196" s="38"/>
      <c r="F196" s="38"/>
    </row>
    <row r="197" spans="4:6" x14ac:dyDescent="0.2">
      <c r="D197" s="38"/>
      <c r="E197" s="38"/>
      <c r="F197" s="38"/>
    </row>
    <row r="198" spans="4:6" x14ac:dyDescent="0.2">
      <c r="D198" s="38"/>
      <c r="E198" s="38"/>
      <c r="F198" s="38"/>
    </row>
    <row r="199" spans="4:6" x14ac:dyDescent="0.2">
      <c r="D199" s="38"/>
      <c r="E199" s="38"/>
      <c r="F199" s="38"/>
    </row>
    <row r="200" spans="4:6" x14ac:dyDescent="0.2">
      <c r="D200" s="38"/>
      <c r="E200" s="38"/>
      <c r="F200" s="38"/>
    </row>
    <row r="201" spans="4:6" x14ac:dyDescent="0.2">
      <c r="D201" s="38"/>
      <c r="E201" s="38"/>
      <c r="F201" s="38"/>
    </row>
    <row r="202" spans="4:6" x14ac:dyDescent="0.2">
      <c r="D202" s="38"/>
      <c r="E202" s="38"/>
      <c r="F202" s="38"/>
    </row>
    <row r="203" spans="4:6" x14ac:dyDescent="0.2">
      <c r="D203" s="38"/>
      <c r="E203" s="38"/>
      <c r="F203" s="38"/>
    </row>
    <row r="204" spans="4:6" x14ac:dyDescent="0.2">
      <c r="D204" s="38"/>
      <c r="E204" s="38"/>
      <c r="F204" s="38"/>
    </row>
    <row r="205" spans="4:6" x14ac:dyDescent="0.2">
      <c r="D205" s="38"/>
      <c r="E205" s="38"/>
      <c r="F205" s="38"/>
    </row>
    <row r="206" spans="4:6" x14ac:dyDescent="0.2">
      <c r="D206" s="38"/>
      <c r="E206" s="38"/>
      <c r="F206" s="38"/>
    </row>
    <row r="207" spans="4:6" x14ac:dyDescent="0.2">
      <c r="D207" s="38"/>
      <c r="E207" s="38"/>
      <c r="F207" s="38"/>
    </row>
    <row r="208" spans="4:6" x14ac:dyDescent="0.2">
      <c r="D208" s="38"/>
      <c r="E208" s="38"/>
      <c r="F208" s="38"/>
    </row>
    <row r="209" spans="4:6" x14ac:dyDescent="0.2">
      <c r="D209" s="38"/>
      <c r="E209" s="38"/>
      <c r="F209" s="38"/>
    </row>
    <row r="210" spans="4:6" x14ac:dyDescent="0.2">
      <c r="D210" s="38"/>
      <c r="E210" s="38"/>
      <c r="F210" s="38"/>
    </row>
    <row r="211" spans="4:6" x14ac:dyDescent="0.2">
      <c r="D211" s="38"/>
      <c r="E211" s="38"/>
      <c r="F211" s="38"/>
    </row>
    <row r="212" spans="4:6" x14ac:dyDescent="0.2">
      <c r="D212" s="38"/>
      <c r="E212" s="38"/>
      <c r="F212" s="38"/>
    </row>
    <row r="213" spans="4:6" x14ac:dyDescent="0.2">
      <c r="D213" s="38"/>
      <c r="E213" s="38"/>
      <c r="F213" s="38"/>
    </row>
    <row r="214" spans="4:6" x14ac:dyDescent="0.2">
      <c r="D214" s="38"/>
      <c r="E214" s="38"/>
      <c r="F214" s="38"/>
    </row>
    <row r="215" spans="4:6" x14ac:dyDescent="0.2">
      <c r="D215" s="38"/>
      <c r="E215" s="38"/>
      <c r="F215" s="38"/>
    </row>
    <row r="216" spans="4:6" x14ac:dyDescent="0.2">
      <c r="D216" s="38"/>
      <c r="E216" s="38"/>
      <c r="F216" s="38"/>
    </row>
    <row r="217" spans="4:6" x14ac:dyDescent="0.2">
      <c r="D217" s="38"/>
      <c r="E217" s="38"/>
      <c r="F217" s="38"/>
    </row>
    <row r="218" spans="4:6" x14ac:dyDescent="0.2">
      <c r="D218" s="38"/>
      <c r="E218" s="38"/>
      <c r="F218" s="38"/>
    </row>
    <row r="219" spans="4:6" x14ac:dyDescent="0.2">
      <c r="D219" s="38"/>
      <c r="E219" s="38"/>
      <c r="F219" s="38"/>
    </row>
    <row r="220" spans="4:6" x14ac:dyDescent="0.2">
      <c r="D220" s="38"/>
      <c r="E220" s="38"/>
      <c r="F220" s="38"/>
    </row>
    <row r="221" spans="4:6" x14ac:dyDescent="0.2">
      <c r="D221" s="38"/>
      <c r="E221" s="38"/>
      <c r="F221" s="38"/>
    </row>
    <row r="222" spans="4:6" x14ac:dyDescent="0.2">
      <c r="D222" s="38"/>
      <c r="E222" s="38"/>
      <c r="F222" s="38"/>
    </row>
    <row r="223" spans="4:6" x14ac:dyDescent="0.2">
      <c r="D223" s="38"/>
      <c r="E223" s="38"/>
      <c r="F223" s="38"/>
    </row>
    <row r="224" spans="4:6" x14ac:dyDescent="0.2">
      <c r="D224" s="38"/>
      <c r="E224" s="38"/>
      <c r="F224" s="38"/>
    </row>
    <row r="225" spans="4:6" x14ac:dyDescent="0.2">
      <c r="D225" s="38"/>
      <c r="E225" s="38"/>
      <c r="F225" s="38"/>
    </row>
    <row r="226" spans="4:6" x14ac:dyDescent="0.2">
      <c r="D226" s="38"/>
      <c r="E226" s="38"/>
      <c r="F226" s="38"/>
    </row>
    <row r="227" spans="4:6" x14ac:dyDescent="0.2">
      <c r="D227" s="38"/>
      <c r="E227" s="38"/>
      <c r="F227" s="38"/>
    </row>
    <row r="228" spans="4:6" x14ac:dyDescent="0.2">
      <c r="D228" s="38"/>
      <c r="E228" s="38"/>
      <c r="F228" s="38"/>
    </row>
    <row r="229" spans="4:6" x14ac:dyDescent="0.2">
      <c r="D229" s="38"/>
      <c r="E229" s="38"/>
      <c r="F229" s="38"/>
    </row>
    <row r="230" spans="4:6" x14ac:dyDescent="0.2">
      <c r="D230" s="38"/>
      <c r="E230" s="38"/>
      <c r="F230" s="38"/>
    </row>
  </sheetData>
  <mergeCells count="3">
    <mergeCell ref="A33:E33"/>
    <mergeCell ref="A1:C1"/>
    <mergeCell ref="D1:G1"/>
  </mergeCells>
  <phoneticPr fontId="0" type="noConversion"/>
  <dataValidations count="3">
    <dataValidation type="list" allowBlank="1" showInputMessage="1" showErrorMessage="1" sqref="C3:C32">
      <formula1>Risk_Category_List</formula1>
    </dataValidation>
    <dataValidation allowBlank="1" showInputMessage="1" showErrorMessage="1" promptTitle="Estimated impact - days" prompt="This is an estimate of the impact that this risk will have on the project" sqref="D2"/>
    <dataValidation allowBlank="1" showInputMessage="1" showErrorMessage="1" promptTitle="Probability of Occurrence" prompt="Probability that this risk would occur during the project life cycle" sqref="E2"/>
  </dataValidations>
  <hyperlinks>
    <hyperlink ref="D1" location="'Detailed Risk Impact Estimates'!B37" display="See below for Risk Impact Summary"/>
    <hyperlink ref="D1:G1" location="'Detailed Risk Impact Estimates'!B35" display="See below for Risk Impact Summary"/>
  </hyperlinks>
  <pageMargins left="0.75" right="0.75" top="1" bottom="1" header="0.5" footer="0.5"/>
  <pageSetup orientation="portrait" r:id="rId1"/>
  <headerFooter alignWithMargins="0">
    <oddHeader>&amp;C&amp;"Arial,Bold"&amp;8Virtusa Corporation</oddHeader>
    <oddFooter>&amp;L&amp;"Arial,Bold"&amp;8Project Estimate&amp;R&amp;"Arial,Bold"&amp;8&amp;P of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outlinePr summaryBelow="0"/>
  </sheetPr>
  <dimension ref="A1:D85"/>
  <sheetViews>
    <sheetView showGridLines="0" zoomScale="86" zoomScaleNormal="86" workbookViewId="0">
      <selection activeCell="B78" sqref="B78"/>
    </sheetView>
  </sheetViews>
  <sheetFormatPr defaultRowHeight="15" outlineLevelRow="1" x14ac:dyDescent="0.25"/>
  <cols>
    <col min="1" max="1" width="5.5703125" style="8" customWidth="1"/>
    <col min="2" max="2" width="118.5703125" style="8" customWidth="1"/>
    <col min="3" max="16384" width="9.140625" style="8"/>
  </cols>
  <sheetData>
    <row r="1" spans="1:4" x14ac:dyDescent="0.25">
      <c r="A1" s="163" t="s">
        <v>75</v>
      </c>
      <c r="B1" s="164"/>
    </row>
    <row r="2" spans="1:4" ht="30" customHeight="1" x14ac:dyDescent="0.25">
      <c r="A2" s="165" t="s">
        <v>78</v>
      </c>
      <c r="B2" s="165"/>
    </row>
    <row r="3" spans="1:4" ht="43.5" customHeight="1" x14ac:dyDescent="0.25">
      <c r="A3" s="57"/>
      <c r="B3" s="57"/>
    </row>
    <row r="4" spans="1:4" ht="21" collapsed="1" x14ac:dyDescent="0.3">
      <c r="A4" s="161" t="s">
        <v>85</v>
      </c>
      <c r="B4" s="162"/>
      <c r="C4" s="58">
        <f>COUNTA(B6:B15)</f>
        <v>0</v>
      </c>
      <c r="D4" s="58" t="s">
        <v>86</v>
      </c>
    </row>
    <row r="5" spans="1:4" hidden="1" outlineLevel="1" x14ac:dyDescent="0.25">
      <c r="A5" s="50" t="s">
        <v>6</v>
      </c>
      <c r="B5" s="50" t="s">
        <v>87</v>
      </c>
    </row>
    <row r="6" spans="1:4" hidden="1" outlineLevel="1" x14ac:dyDescent="0.25">
      <c r="A6" s="51">
        <v>1</v>
      </c>
      <c r="B6" s="52"/>
    </row>
    <row r="7" spans="1:4" hidden="1" outlineLevel="1" x14ac:dyDescent="0.25">
      <c r="A7" s="51">
        <v>2</v>
      </c>
      <c r="B7" s="52"/>
    </row>
    <row r="8" spans="1:4" hidden="1" outlineLevel="1" x14ac:dyDescent="0.25">
      <c r="A8" s="51">
        <v>3</v>
      </c>
      <c r="B8" s="52"/>
    </row>
    <row r="9" spans="1:4" hidden="1" outlineLevel="1" x14ac:dyDescent="0.25">
      <c r="A9" s="51">
        <v>4</v>
      </c>
      <c r="B9" s="52"/>
    </row>
    <row r="10" spans="1:4" hidden="1" outlineLevel="1" x14ac:dyDescent="0.25">
      <c r="A10" s="51">
        <v>5</v>
      </c>
      <c r="B10" s="52"/>
    </row>
    <row r="11" spans="1:4" hidden="1" outlineLevel="1" x14ac:dyDescent="0.25">
      <c r="A11" s="51">
        <v>6</v>
      </c>
      <c r="B11" s="52"/>
    </row>
    <row r="12" spans="1:4" hidden="1" outlineLevel="1" x14ac:dyDescent="0.25">
      <c r="A12" s="51">
        <v>7</v>
      </c>
      <c r="B12" s="52"/>
    </row>
    <row r="13" spans="1:4" hidden="1" outlineLevel="1" x14ac:dyDescent="0.25">
      <c r="A13" s="51">
        <v>8</v>
      </c>
      <c r="B13" s="52"/>
    </row>
    <row r="14" spans="1:4" hidden="1" outlineLevel="1" x14ac:dyDescent="0.25">
      <c r="A14" s="51">
        <v>9</v>
      </c>
      <c r="B14" s="52"/>
    </row>
    <row r="15" spans="1:4" hidden="1" outlineLevel="1" x14ac:dyDescent="0.25">
      <c r="A15" s="51">
        <v>10</v>
      </c>
      <c r="B15" s="52"/>
    </row>
    <row r="17" spans="1:4" ht="21" collapsed="1" x14ac:dyDescent="0.3">
      <c r="A17" s="161" t="s">
        <v>80</v>
      </c>
      <c r="B17" s="162"/>
      <c r="C17" s="58">
        <f>COUNTA(B19:B32)</f>
        <v>14</v>
      </c>
      <c r="D17" s="58" t="s">
        <v>86</v>
      </c>
    </row>
    <row r="18" spans="1:4" hidden="1" outlineLevel="1" x14ac:dyDescent="0.25">
      <c r="A18" s="50" t="s">
        <v>6</v>
      </c>
      <c r="B18" s="50" t="s">
        <v>87</v>
      </c>
    </row>
    <row r="19" spans="1:4" hidden="1" outlineLevel="1" x14ac:dyDescent="0.25">
      <c r="A19" s="51">
        <v>1</v>
      </c>
      <c r="B19" s="52" t="s">
        <v>159</v>
      </c>
    </row>
    <row r="20" spans="1:4" hidden="1" outlineLevel="1" x14ac:dyDescent="0.25">
      <c r="A20" s="51">
        <v>2</v>
      </c>
      <c r="B20" s="52" t="s">
        <v>163</v>
      </c>
    </row>
    <row r="21" spans="1:4" ht="30" hidden="1" outlineLevel="1" x14ac:dyDescent="0.25">
      <c r="A21" s="51">
        <v>3</v>
      </c>
      <c r="B21" s="52" t="s">
        <v>160</v>
      </c>
    </row>
    <row r="22" spans="1:4" hidden="1" outlineLevel="1" x14ac:dyDescent="0.25">
      <c r="A22" s="51">
        <v>4</v>
      </c>
      <c r="B22" s="52" t="s">
        <v>137</v>
      </c>
    </row>
    <row r="23" spans="1:4" hidden="1" outlineLevel="1" x14ac:dyDescent="0.25">
      <c r="A23" s="51">
        <v>5</v>
      </c>
      <c r="B23" s="52" t="s">
        <v>139</v>
      </c>
    </row>
    <row r="24" spans="1:4" hidden="1" outlineLevel="1" x14ac:dyDescent="0.25">
      <c r="A24" s="51">
        <v>6</v>
      </c>
      <c r="B24" s="52" t="s">
        <v>147</v>
      </c>
    </row>
    <row r="25" spans="1:4" hidden="1" outlineLevel="1" x14ac:dyDescent="0.25">
      <c r="A25" s="51">
        <v>7</v>
      </c>
      <c r="B25" s="52" t="s">
        <v>148</v>
      </c>
    </row>
    <row r="26" spans="1:4" hidden="1" outlineLevel="1" x14ac:dyDescent="0.25">
      <c r="A26" s="51">
        <v>8</v>
      </c>
      <c r="B26" s="52" t="s">
        <v>149</v>
      </c>
    </row>
    <row r="27" spans="1:4" ht="30" hidden="1" outlineLevel="1" x14ac:dyDescent="0.25">
      <c r="A27" s="51">
        <v>9</v>
      </c>
      <c r="B27" s="52" t="s">
        <v>150</v>
      </c>
    </row>
    <row r="28" spans="1:4" hidden="1" outlineLevel="1" x14ac:dyDescent="0.25">
      <c r="A28" s="51">
        <v>10</v>
      </c>
      <c r="B28" s="52" t="s">
        <v>178</v>
      </c>
    </row>
    <row r="29" spans="1:4" hidden="1" outlineLevel="1" x14ac:dyDescent="0.25">
      <c r="A29" s="51">
        <v>11</v>
      </c>
      <c r="B29" s="52" t="s">
        <v>155</v>
      </c>
    </row>
    <row r="30" spans="1:4" hidden="1" outlineLevel="1" x14ac:dyDescent="0.25">
      <c r="A30" s="51">
        <v>12</v>
      </c>
      <c r="B30" s="52" t="s">
        <v>173</v>
      </c>
    </row>
    <row r="31" spans="1:4" hidden="1" outlineLevel="1" x14ac:dyDescent="0.25">
      <c r="A31" s="51">
        <v>13</v>
      </c>
      <c r="B31" s="52" t="s">
        <v>174</v>
      </c>
    </row>
    <row r="32" spans="1:4" hidden="1" outlineLevel="1" x14ac:dyDescent="0.25">
      <c r="A32" s="51">
        <v>14</v>
      </c>
      <c r="B32" s="52" t="s">
        <v>176</v>
      </c>
    </row>
    <row r="34" spans="1:4" ht="21" collapsed="1" x14ac:dyDescent="0.3">
      <c r="A34" s="161" t="s">
        <v>82</v>
      </c>
      <c r="B34" s="162"/>
      <c r="C34" s="58">
        <f>COUNTA(B36:B45)</f>
        <v>0</v>
      </c>
      <c r="D34" s="58" t="s">
        <v>86</v>
      </c>
    </row>
    <row r="35" spans="1:4" hidden="1" outlineLevel="1" x14ac:dyDescent="0.25">
      <c r="A35" s="50" t="s">
        <v>6</v>
      </c>
      <c r="B35" s="50" t="s">
        <v>87</v>
      </c>
    </row>
    <row r="36" spans="1:4" hidden="1" outlineLevel="1" x14ac:dyDescent="0.25">
      <c r="A36" s="51">
        <v>1</v>
      </c>
      <c r="B36" s="52"/>
    </row>
    <row r="37" spans="1:4" hidden="1" outlineLevel="1" x14ac:dyDescent="0.25">
      <c r="A37" s="51">
        <v>2</v>
      </c>
      <c r="B37" s="52"/>
    </row>
    <row r="38" spans="1:4" hidden="1" outlineLevel="1" x14ac:dyDescent="0.25">
      <c r="A38" s="51">
        <v>3</v>
      </c>
      <c r="B38" s="52"/>
    </row>
    <row r="39" spans="1:4" hidden="1" outlineLevel="1" x14ac:dyDescent="0.25">
      <c r="A39" s="51">
        <v>4</v>
      </c>
      <c r="B39" s="52"/>
    </row>
    <row r="40" spans="1:4" hidden="1" outlineLevel="1" x14ac:dyDescent="0.25">
      <c r="A40" s="51">
        <v>5</v>
      </c>
      <c r="B40" s="52"/>
    </row>
    <row r="41" spans="1:4" hidden="1" outlineLevel="1" x14ac:dyDescent="0.25">
      <c r="A41" s="51">
        <v>6</v>
      </c>
      <c r="B41" s="52"/>
    </row>
    <row r="42" spans="1:4" hidden="1" outlineLevel="1" x14ac:dyDescent="0.25">
      <c r="A42" s="51">
        <v>7</v>
      </c>
      <c r="B42" s="52"/>
    </row>
    <row r="43" spans="1:4" hidden="1" outlineLevel="1" x14ac:dyDescent="0.25">
      <c r="A43" s="51">
        <v>8</v>
      </c>
      <c r="B43" s="52"/>
    </row>
    <row r="44" spans="1:4" hidden="1" outlineLevel="1" x14ac:dyDescent="0.25">
      <c r="A44" s="51">
        <v>9</v>
      </c>
      <c r="B44" s="52"/>
    </row>
    <row r="45" spans="1:4" hidden="1" outlineLevel="1" x14ac:dyDescent="0.25">
      <c r="A45" s="51">
        <v>10</v>
      </c>
      <c r="B45" s="52"/>
    </row>
    <row r="47" spans="1:4" ht="21" collapsed="1" x14ac:dyDescent="0.3">
      <c r="A47" s="161" t="s">
        <v>83</v>
      </c>
      <c r="B47" s="162"/>
      <c r="C47" s="58">
        <f>COUNTA(B49:B58)</f>
        <v>1</v>
      </c>
      <c r="D47" s="58" t="s">
        <v>86</v>
      </c>
    </row>
    <row r="48" spans="1:4" hidden="1" outlineLevel="1" x14ac:dyDescent="0.25">
      <c r="A48" s="50" t="s">
        <v>6</v>
      </c>
      <c r="B48" s="50" t="s">
        <v>87</v>
      </c>
    </row>
    <row r="49" spans="1:4" hidden="1" outlineLevel="1" x14ac:dyDescent="0.25">
      <c r="A49" s="51">
        <v>1</v>
      </c>
      <c r="B49" s="52" t="s">
        <v>158</v>
      </c>
    </row>
    <row r="50" spans="1:4" hidden="1" outlineLevel="1" x14ac:dyDescent="0.25">
      <c r="A50" s="51">
        <v>2</v>
      </c>
      <c r="B50" s="52"/>
    </row>
    <row r="51" spans="1:4" hidden="1" outlineLevel="1" x14ac:dyDescent="0.25">
      <c r="A51" s="51">
        <v>3</v>
      </c>
      <c r="B51" s="52"/>
    </row>
    <row r="52" spans="1:4" hidden="1" outlineLevel="1" x14ac:dyDescent="0.25">
      <c r="A52" s="51">
        <v>4</v>
      </c>
      <c r="B52" s="52"/>
    </row>
    <row r="53" spans="1:4" hidden="1" outlineLevel="1" x14ac:dyDescent="0.25">
      <c r="A53" s="51">
        <v>5</v>
      </c>
      <c r="B53" s="52"/>
    </row>
    <row r="54" spans="1:4" hidden="1" outlineLevel="1" x14ac:dyDescent="0.25">
      <c r="A54" s="51">
        <v>6</v>
      </c>
      <c r="B54" s="52"/>
    </row>
    <row r="55" spans="1:4" hidden="1" outlineLevel="1" x14ac:dyDescent="0.25">
      <c r="A55" s="51">
        <v>7</v>
      </c>
      <c r="B55" s="52"/>
    </row>
    <row r="56" spans="1:4" hidden="1" outlineLevel="1" x14ac:dyDescent="0.25">
      <c r="A56" s="51">
        <v>8</v>
      </c>
      <c r="B56" s="52"/>
    </row>
    <row r="57" spans="1:4" hidden="1" outlineLevel="1" x14ac:dyDescent="0.25">
      <c r="A57" s="51">
        <v>9</v>
      </c>
      <c r="B57" s="52"/>
    </row>
    <row r="58" spans="1:4" hidden="1" outlineLevel="1" x14ac:dyDescent="0.25">
      <c r="A58" s="51">
        <v>10</v>
      </c>
      <c r="B58" s="52"/>
    </row>
    <row r="60" spans="1:4" ht="21" collapsed="1" x14ac:dyDescent="0.3">
      <c r="A60" s="161" t="s">
        <v>84</v>
      </c>
      <c r="B60" s="162"/>
      <c r="C60" s="58">
        <f>COUNTA(B62:B71)</f>
        <v>1</v>
      </c>
      <c r="D60" s="58" t="s">
        <v>86</v>
      </c>
    </row>
    <row r="61" spans="1:4" hidden="1" outlineLevel="1" x14ac:dyDescent="0.25">
      <c r="A61" s="50" t="s">
        <v>6</v>
      </c>
      <c r="B61" s="50" t="s">
        <v>87</v>
      </c>
    </row>
    <row r="62" spans="1:4" hidden="1" outlineLevel="1" x14ac:dyDescent="0.25">
      <c r="A62" s="51">
        <v>1</v>
      </c>
      <c r="B62" s="52" t="s">
        <v>161</v>
      </c>
    </row>
    <row r="63" spans="1:4" hidden="1" outlineLevel="1" x14ac:dyDescent="0.25">
      <c r="A63" s="51">
        <v>2</v>
      </c>
      <c r="B63" s="52"/>
    </row>
    <row r="64" spans="1:4" hidden="1" outlineLevel="1" x14ac:dyDescent="0.25">
      <c r="A64" s="51">
        <v>3</v>
      </c>
      <c r="B64" s="52"/>
    </row>
    <row r="65" spans="1:4" hidden="1" outlineLevel="1" x14ac:dyDescent="0.25">
      <c r="A65" s="51">
        <v>4</v>
      </c>
      <c r="B65" s="52"/>
    </row>
    <row r="66" spans="1:4" hidden="1" outlineLevel="1" x14ac:dyDescent="0.25">
      <c r="A66" s="51">
        <v>5</v>
      </c>
      <c r="B66" s="52"/>
    </row>
    <row r="67" spans="1:4" hidden="1" outlineLevel="1" x14ac:dyDescent="0.25">
      <c r="A67" s="51">
        <v>6</v>
      </c>
      <c r="B67" s="52"/>
    </row>
    <row r="68" spans="1:4" hidden="1" outlineLevel="1" x14ac:dyDescent="0.25">
      <c r="A68" s="51">
        <v>7</v>
      </c>
      <c r="B68" s="52"/>
    </row>
    <row r="69" spans="1:4" hidden="1" outlineLevel="1" x14ac:dyDescent="0.25">
      <c r="A69" s="51">
        <v>8</v>
      </c>
      <c r="B69" s="52"/>
    </row>
    <row r="70" spans="1:4" hidden="1" outlineLevel="1" x14ac:dyDescent="0.25">
      <c r="A70" s="51">
        <v>9</v>
      </c>
      <c r="B70" s="52"/>
    </row>
    <row r="71" spans="1:4" hidden="1" outlineLevel="1" x14ac:dyDescent="0.25">
      <c r="A71" s="51">
        <v>10</v>
      </c>
      <c r="B71" s="52"/>
    </row>
    <row r="73" spans="1:4" ht="21" collapsed="1" x14ac:dyDescent="0.3">
      <c r="A73" s="161" t="s">
        <v>81</v>
      </c>
      <c r="B73" s="162"/>
      <c r="C73" s="58">
        <f>COUNTA(B76:B85)</f>
        <v>3</v>
      </c>
      <c r="D73" s="58" t="s">
        <v>86</v>
      </c>
    </row>
    <row r="74" spans="1:4" hidden="1" outlineLevel="1" x14ac:dyDescent="0.25">
      <c r="A74" s="50" t="s">
        <v>6</v>
      </c>
      <c r="B74" s="50" t="s">
        <v>87</v>
      </c>
    </row>
    <row r="75" spans="1:4" hidden="1" outlineLevel="1" x14ac:dyDescent="0.25">
      <c r="A75" s="51">
        <v>1</v>
      </c>
      <c r="B75" s="103" t="s">
        <v>138</v>
      </c>
    </row>
    <row r="76" spans="1:4" hidden="1" outlineLevel="1" x14ac:dyDescent="0.25">
      <c r="A76" s="51">
        <v>2</v>
      </c>
      <c r="B76" s="52" t="s">
        <v>162</v>
      </c>
    </row>
    <row r="77" spans="1:4" hidden="1" outlineLevel="1" x14ac:dyDescent="0.25">
      <c r="A77" s="51">
        <v>3</v>
      </c>
      <c r="B77" s="52" t="s">
        <v>140</v>
      </c>
    </row>
    <row r="78" spans="1:4" hidden="1" outlineLevel="1" x14ac:dyDescent="0.25">
      <c r="A78" s="51">
        <v>4</v>
      </c>
      <c r="B78" s="104" t="s">
        <v>166</v>
      </c>
    </row>
    <row r="79" spans="1:4" hidden="1" outlineLevel="1" x14ac:dyDescent="0.25">
      <c r="A79" s="51">
        <v>5</v>
      </c>
      <c r="B79" s="104"/>
    </row>
    <row r="80" spans="1:4" hidden="1" outlineLevel="1" x14ac:dyDescent="0.25">
      <c r="A80" s="51">
        <v>6</v>
      </c>
      <c r="B80" s="104"/>
    </row>
    <row r="81" spans="1:2" hidden="1" outlineLevel="1" x14ac:dyDescent="0.25">
      <c r="A81" s="51">
        <v>7</v>
      </c>
      <c r="B81" s="104"/>
    </row>
    <row r="82" spans="1:2" hidden="1" outlineLevel="1" x14ac:dyDescent="0.25">
      <c r="A82" s="51">
        <v>8</v>
      </c>
      <c r="B82" s="104"/>
    </row>
    <row r="83" spans="1:2" hidden="1" outlineLevel="1" x14ac:dyDescent="0.25">
      <c r="A83" s="51">
        <v>9</v>
      </c>
      <c r="B83" s="104"/>
    </row>
    <row r="84" spans="1:2" hidden="1" outlineLevel="1" x14ac:dyDescent="0.25">
      <c r="A84" s="51">
        <v>10</v>
      </c>
      <c r="B84" s="104"/>
    </row>
    <row r="85" spans="1:2" hidden="1" outlineLevel="1" x14ac:dyDescent="0.25">
      <c r="A85" s="51">
        <v>11</v>
      </c>
      <c r="B85" s="104"/>
    </row>
  </sheetData>
  <mergeCells count="8">
    <mergeCell ref="A47:B47"/>
    <mergeCell ref="A60:B60"/>
    <mergeCell ref="A73:B73"/>
    <mergeCell ref="A1:B1"/>
    <mergeCell ref="A2:B2"/>
    <mergeCell ref="A4:B4"/>
    <mergeCell ref="A17:B17"/>
    <mergeCell ref="A34:B34"/>
  </mergeCells>
  <phoneticPr fontId="0" type="noConversion"/>
  <pageMargins left="0.75" right="0.75" top="1" bottom="1" header="0.5" footer="0.5"/>
  <pageSetup orientation="portrait" r:id="rId1"/>
  <headerFooter alignWithMargins="0">
    <oddHeader>&amp;C&amp;"Arial,Bold"&amp;8Virtusa Corporation</oddHeader>
    <oddFooter>&amp;L&amp;"Arial,Bold"&amp;8Project Estimate&amp;R&amp;"Arial,Bold"&amp;8&amp;P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13"/>
  <sheetViews>
    <sheetView zoomScale="95" zoomScaleNormal="95" workbookViewId="0">
      <selection activeCell="B5" sqref="B5"/>
    </sheetView>
  </sheetViews>
  <sheetFormatPr defaultRowHeight="12.75" x14ac:dyDescent="0.2"/>
  <cols>
    <col min="1" max="1" width="3.140625" style="23" customWidth="1"/>
    <col min="2" max="2" width="122.85546875" style="23" customWidth="1"/>
    <col min="3" max="16384" width="9.140625" style="23"/>
  </cols>
  <sheetData>
    <row r="1" spans="1:6" ht="29.25" customHeight="1" x14ac:dyDescent="0.2">
      <c r="A1" s="106" t="s">
        <v>79</v>
      </c>
      <c r="B1" s="109"/>
      <c r="C1" s="109"/>
      <c r="D1" s="109"/>
      <c r="E1" s="109"/>
      <c r="F1" s="109"/>
    </row>
    <row r="2" spans="1:6" ht="15" x14ac:dyDescent="0.25">
      <c r="B2" s="55" t="s">
        <v>66</v>
      </c>
    </row>
    <row r="3" spans="1:6" ht="30" x14ac:dyDescent="0.25">
      <c r="B3" s="49" t="s">
        <v>67</v>
      </c>
    </row>
    <row r="4" spans="1:6" ht="30" x14ac:dyDescent="0.25">
      <c r="B4" s="49" t="s">
        <v>68</v>
      </c>
    </row>
    <row r="5" spans="1:6" ht="15" x14ac:dyDescent="0.25">
      <c r="B5" s="49" t="s">
        <v>69</v>
      </c>
    </row>
    <row r="6" spans="1:6" x14ac:dyDescent="0.2">
      <c r="B6" s="55"/>
    </row>
    <row r="7" spans="1:6" ht="45" x14ac:dyDescent="0.25">
      <c r="B7" s="55" t="s">
        <v>70</v>
      </c>
    </row>
    <row r="8" spans="1:6" ht="15" x14ac:dyDescent="0.25">
      <c r="B8" s="49" t="s">
        <v>71</v>
      </c>
    </row>
    <row r="9" spans="1:6" ht="7.5" customHeight="1" x14ac:dyDescent="0.2">
      <c r="B9" s="55"/>
    </row>
    <row r="10" spans="1:6" ht="37.5" customHeight="1" x14ac:dyDescent="0.25">
      <c r="B10" s="55" t="s">
        <v>72</v>
      </c>
    </row>
    <row r="11" spans="1:6" ht="45" x14ac:dyDescent="0.25">
      <c r="B11" s="49" t="s">
        <v>73</v>
      </c>
    </row>
    <row r="12" spans="1:6" ht="30" x14ac:dyDescent="0.25">
      <c r="B12" s="49" t="s">
        <v>74</v>
      </c>
    </row>
    <row r="13" spans="1:6" x14ac:dyDescent="0.2">
      <c r="B13" s="49"/>
    </row>
  </sheetData>
  <mergeCells count="1">
    <mergeCell ref="A1:F1"/>
  </mergeCell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11"/>
  <sheetViews>
    <sheetView showGridLines="0" workbookViewId="0">
      <selection activeCell="E15" sqref="E15"/>
    </sheetView>
  </sheetViews>
  <sheetFormatPr defaultRowHeight="12.75" x14ac:dyDescent="0.2"/>
  <cols>
    <col min="1" max="1" width="38" customWidth="1"/>
    <col min="257" max="257" width="38" customWidth="1"/>
    <col min="513" max="513" width="38" customWidth="1"/>
    <col min="769" max="769" width="38" customWidth="1"/>
    <col min="1025" max="1025" width="38" customWidth="1"/>
    <col min="1281" max="1281" width="38" customWidth="1"/>
    <col min="1537" max="1537" width="38" customWidth="1"/>
    <col min="1793" max="1793" width="38" customWidth="1"/>
    <col min="2049" max="2049" width="38" customWidth="1"/>
    <col min="2305" max="2305" width="38" customWidth="1"/>
    <col min="2561" max="2561" width="38" customWidth="1"/>
    <col min="2817" max="2817" width="38" customWidth="1"/>
    <col min="3073" max="3073" width="38" customWidth="1"/>
    <col min="3329" max="3329" width="38" customWidth="1"/>
    <col min="3585" max="3585" width="38" customWidth="1"/>
    <col min="3841" max="3841" width="38" customWidth="1"/>
    <col min="4097" max="4097" width="38" customWidth="1"/>
    <col min="4353" max="4353" width="38" customWidth="1"/>
    <col min="4609" max="4609" width="38" customWidth="1"/>
    <col min="4865" max="4865" width="38" customWidth="1"/>
    <col min="5121" max="5121" width="38" customWidth="1"/>
    <col min="5377" max="5377" width="38" customWidth="1"/>
    <col min="5633" max="5633" width="38" customWidth="1"/>
    <col min="5889" max="5889" width="38" customWidth="1"/>
    <col min="6145" max="6145" width="38" customWidth="1"/>
    <col min="6401" max="6401" width="38" customWidth="1"/>
    <col min="6657" max="6657" width="38" customWidth="1"/>
    <col min="6913" max="6913" width="38" customWidth="1"/>
    <col min="7169" max="7169" width="38" customWidth="1"/>
    <col min="7425" max="7425" width="38" customWidth="1"/>
    <col min="7681" max="7681" width="38" customWidth="1"/>
    <col min="7937" max="7937" width="38" customWidth="1"/>
    <col min="8193" max="8193" width="38" customWidth="1"/>
    <col min="8449" max="8449" width="38" customWidth="1"/>
    <col min="8705" max="8705" width="38" customWidth="1"/>
    <col min="8961" max="8961" width="38" customWidth="1"/>
    <col min="9217" max="9217" width="38" customWidth="1"/>
    <col min="9473" max="9473" width="38" customWidth="1"/>
    <col min="9729" max="9729" width="38" customWidth="1"/>
    <col min="9985" max="9985" width="38" customWidth="1"/>
    <col min="10241" max="10241" width="38" customWidth="1"/>
    <col min="10497" max="10497" width="38" customWidth="1"/>
    <col min="10753" max="10753" width="38" customWidth="1"/>
    <col min="11009" max="11009" width="38" customWidth="1"/>
    <col min="11265" max="11265" width="38" customWidth="1"/>
    <col min="11521" max="11521" width="38" customWidth="1"/>
    <col min="11777" max="11777" width="38" customWidth="1"/>
    <col min="12033" max="12033" width="38" customWidth="1"/>
    <col min="12289" max="12289" width="38" customWidth="1"/>
    <col min="12545" max="12545" width="38" customWidth="1"/>
    <col min="12801" max="12801" width="38" customWidth="1"/>
    <col min="13057" max="13057" width="38" customWidth="1"/>
    <col min="13313" max="13313" width="38" customWidth="1"/>
    <col min="13569" max="13569" width="38" customWidth="1"/>
    <col min="13825" max="13825" width="38" customWidth="1"/>
    <col min="14081" max="14081" width="38" customWidth="1"/>
    <col min="14337" max="14337" width="38" customWidth="1"/>
    <col min="14593" max="14593" width="38" customWidth="1"/>
    <col min="14849" max="14849" width="38" customWidth="1"/>
    <col min="15105" max="15105" width="38" customWidth="1"/>
    <col min="15361" max="15361" width="38" customWidth="1"/>
    <col min="15617" max="15617" width="38" customWidth="1"/>
    <col min="15873" max="15873" width="38" customWidth="1"/>
    <col min="16129" max="16129" width="38" customWidth="1"/>
  </cols>
  <sheetData>
    <row r="1" spans="1:2" x14ac:dyDescent="0.2">
      <c r="A1" s="59" t="s">
        <v>91</v>
      </c>
    </row>
    <row r="2" spans="1:2" ht="24.75" customHeight="1" x14ac:dyDescent="0.2">
      <c r="A2" s="60" t="s">
        <v>92</v>
      </c>
      <c r="B2" s="61">
        <v>0.03</v>
      </c>
    </row>
    <row r="3" spans="1:2" x14ac:dyDescent="0.2">
      <c r="A3" s="56" t="s">
        <v>24</v>
      </c>
      <c r="B3" s="2">
        <v>1.25</v>
      </c>
    </row>
    <row r="4" spans="1:2" x14ac:dyDescent="0.2">
      <c r="A4" s="56" t="s">
        <v>25</v>
      </c>
      <c r="B4" s="2">
        <v>0.75</v>
      </c>
    </row>
    <row r="5" spans="1:2" x14ac:dyDescent="0.2">
      <c r="A5" s="56" t="s">
        <v>88</v>
      </c>
      <c r="B5" s="2"/>
    </row>
    <row r="6" spans="1:2" x14ac:dyDescent="0.2">
      <c r="A6" s="56" t="s">
        <v>88</v>
      </c>
      <c r="B6" s="2"/>
    </row>
    <row r="7" spans="1:2" x14ac:dyDescent="0.2">
      <c r="A7" s="56" t="s">
        <v>88</v>
      </c>
      <c r="B7" s="2"/>
    </row>
    <row r="8" spans="1:2" x14ac:dyDescent="0.2">
      <c r="A8" s="56" t="s">
        <v>88</v>
      </c>
      <c r="B8" s="2"/>
    </row>
    <row r="9" spans="1:2" x14ac:dyDescent="0.2">
      <c r="A9" s="56" t="s">
        <v>88</v>
      </c>
      <c r="B9" s="2"/>
    </row>
    <row r="10" spans="1:2" x14ac:dyDescent="0.2">
      <c r="A10" s="56" t="s">
        <v>88</v>
      </c>
      <c r="B10" s="2"/>
    </row>
    <row r="11" spans="1:2" x14ac:dyDescent="0.2">
      <c r="A11" s="56" t="s">
        <v>88</v>
      </c>
      <c r="B11" s="2"/>
    </row>
  </sheetData>
  <sheetProtection password="C90D" sheet="1"/>
  <protectedRanges>
    <protectedRange sqref="B2:B11" name="Range1"/>
  </protectedRanges>
  <pageMargins left="0.75" right="0.75" top="1" bottom="1" header="0.5" footer="0.5"/>
  <pageSetup orientation="portrait" r:id="rId1"/>
  <headerFooter alignWithMargins="0">
    <oddHeader>&amp;C&amp;"Arial,Bold"&amp;8Virtusa Corporation</oddHeader>
    <oddFooter>&amp;L&amp;"Arial,Bold"&amp;8Project Estimate&amp;R&amp;"Arial,Bold"&amp;8&amp;P of &amp;N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110527C57C9B24AB10C68E34EEE8973" ma:contentTypeVersion="0" ma:contentTypeDescription="Create a new document." ma:contentTypeScope="" ma:versionID="677b8a0d587681ca9d27ef3e048411ad">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D1AE1ED-8D62-46F2-B7D5-B4F6F8DC96A3}">
  <ds:schemaRefs>
    <ds:schemaRef ds:uri="http://schemas.openxmlformats.org/package/2006/metadata/core-properties"/>
    <ds:schemaRef ds:uri="http://schemas.microsoft.com/office/2006/documentManagement/types"/>
    <ds:schemaRef ds:uri="http://purl.org/dc/elements/1.1/"/>
    <ds:schemaRef ds:uri="http://schemas.microsoft.com/office/2006/metadata/properties"/>
    <ds:schemaRef ds:uri="http://purl.org/dc/dcmitype/"/>
    <ds:schemaRef ds:uri="http://purl.org/dc/terms/"/>
    <ds:schemaRef ds:uri="http://www.w3.org/XML/1998/namespace"/>
  </ds:schemaRefs>
</ds:datastoreItem>
</file>

<file path=customXml/itemProps2.xml><?xml version="1.0" encoding="utf-8"?>
<ds:datastoreItem xmlns:ds="http://schemas.openxmlformats.org/officeDocument/2006/customXml" ds:itemID="{C258DDEC-344E-4BB0-8706-49D765B99E0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1BAD6059-4E49-4F6D-8D5E-8F418B1329DF}">
  <ds:schemaRefs>
    <ds:schemaRef ds:uri="http://schemas.microsoft.com/office/2006/metadata/longProperties"/>
  </ds:schemaRefs>
</ds:datastoreItem>
</file>

<file path=customXml/itemProps4.xml><?xml version="1.0" encoding="utf-8"?>
<ds:datastoreItem xmlns:ds="http://schemas.openxmlformats.org/officeDocument/2006/customXml" ds:itemID="{0C78390B-98E9-4C6B-A200-92F4188EF3E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19</vt:i4>
      </vt:variant>
    </vt:vector>
  </HeadingPairs>
  <TitlesOfParts>
    <vt:vector size="26" baseType="lpstr">
      <vt:lpstr>Confidentiality Note</vt:lpstr>
      <vt:lpstr>Detailed Task Estimates</vt:lpstr>
      <vt:lpstr>Effort Summary</vt:lpstr>
      <vt:lpstr>Detailed Risk Impact Estimates</vt:lpstr>
      <vt:lpstr>Assumptions</vt:lpstr>
      <vt:lpstr>PERT Guidelines</vt:lpstr>
      <vt:lpstr>Estimation Metrics</vt:lpstr>
      <vt:lpstr>Expected_Effort</vt:lpstr>
      <vt:lpstr>'Estimation Metrics'!Expert_Team_Productivity_Multiplier</vt:lpstr>
      <vt:lpstr>Expert_Team_Productivity_Multiplier</vt:lpstr>
      <vt:lpstr>'Estimation Metrics'!Green_Team_Productivity_Multiplier</vt:lpstr>
      <vt:lpstr>Green_Team_Productivity_Multiplier</vt:lpstr>
      <vt:lpstr>nr_avg</vt:lpstr>
      <vt:lpstr>nr_expeffET</vt:lpstr>
      <vt:lpstr>nr_expeffGT</vt:lpstr>
      <vt:lpstr>nr_expteffort</vt:lpstr>
      <vt:lpstr>nr_MostLikely</vt:lpstr>
      <vt:lpstr>nr_No</vt:lpstr>
      <vt:lpstr>nr_Optimistic</vt:lpstr>
      <vt:lpstr>nr_Pessimistic</vt:lpstr>
      <vt:lpstr>nr_SD</vt:lpstr>
      <vt:lpstr>nr_TaskName</vt:lpstr>
      <vt:lpstr>nr_Type</vt:lpstr>
      <vt:lpstr>nr_Variance</vt:lpstr>
      <vt:lpstr>Risk_Category_List</vt:lpstr>
      <vt:lpstr>Task_Types</vt:lpstr>
    </vt:vector>
  </TitlesOfParts>
  <Company>Virtusa Corp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Project Effort Estimate</dc:title>
  <dc:creator>mratnayake</dc:creator>
  <cp:keywords>GIPEstimateTemplate</cp:keywords>
  <cp:lastModifiedBy>Uthpala Nagahawatta</cp:lastModifiedBy>
  <cp:lastPrinted>2004-11-10T11:04:08Z</cp:lastPrinted>
  <dcterms:created xsi:type="dcterms:W3CDTF">2002-11-26T08:50:08Z</dcterms:created>
  <dcterms:modified xsi:type="dcterms:W3CDTF">2014-06-10T06:05:01Z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1.3</vt:lpwstr>
  </property>
  <property fmtid="{D5CDD505-2E9C-101B-9397-08002B2CF9AE}" pid="3" name="ContentType">
    <vt:lpwstr>Document</vt:lpwstr>
  </property>
  <property fmtid="{D5CDD505-2E9C-101B-9397-08002B2CF9AE}" pid="4" name="Subject">
    <vt:lpwstr/>
  </property>
  <property fmtid="{D5CDD505-2E9C-101B-9397-08002B2CF9AE}" pid="5" name="Keywords">
    <vt:lpwstr>GIPEstimateTemplate</vt:lpwstr>
  </property>
  <property fmtid="{D5CDD505-2E9C-101B-9397-08002B2CF9AE}" pid="6" name="_Author">
    <vt:lpwstr>mratnayake</vt:lpwstr>
  </property>
  <property fmtid="{D5CDD505-2E9C-101B-9397-08002B2CF9AE}" pid="7" name="_Category">
    <vt:lpwstr/>
  </property>
  <property fmtid="{D5CDD505-2E9C-101B-9397-08002B2CF9AE}" pid="8" name="Categories">
    <vt:lpwstr/>
  </property>
  <property fmtid="{D5CDD505-2E9C-101B-9397-08002B2CF9AE}" pid="9" name="Approval Level">
    <vt:lpwstr/>
  </property>
  <property fmtid="{D5CDD505-2E9C-101B-9397-08002B2CF9AE}" pid="10" name="_Comments">
    <vt:lpwstr/>
  </property>
  <property fmtid="{D5CDD505-2E9C-101B-9397-08002B2CF9AE}" pid="11" name="Assigned To">
    <vt:lpwstr/>
  </property>
</Properties>
</file>